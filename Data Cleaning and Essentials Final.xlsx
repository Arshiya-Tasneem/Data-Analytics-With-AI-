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b8805172cef8f3/"/>
    </mc:Choice>
  </mc:AlternateContent>
  <xr:revisionPtr revIDLastSave="186" documentId="8_{5A13FBAC-ECAA-48A8-8E1E-0E9E8A32C125}" xr6:coauthVersionLast="47" xr6:coauthVersionMax="47" xr10:uidLastSave="{C9D67DDA-F826-4EAD-946F-768490C5096F}"/>
  <bookViews>
    <workbookView xWindow="-110" yWindow="-110" windowWidth="19420" windowHeight="10300" xr2:uid="{4F66BD35-BDA0-48FB-86DD-192C04EA8486}"/>
  </bookViews>
  <sheets>
    <sheet name="Ques.1" sheetId="1" r:id="rId1"/>
    <sheet name="Ques.2" sheetId="2" r:id="rId2"/>
    <sheet name="Ques.3" sheetId="3" r:id="rId3"/>
    <sheet name="Ques.4" sheetId="4" r:id="rId4"/>
    <sheet name="Ques.5" sheetId="5" r:id="rId5"/>
    <sheet name="Ques.6" sheetId="6" r:id="rId6"/>
    <sheet name="Ques.7" sheetId="7" r:id="rId7"/>
    <sheet name="Ques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8" l="1"/>
  <c r="E27" i="8"/>
  <c r="F34" i="7"/>
  <c r="F35" i="7"/>
  <c r="F36" i="7"/>
  <c r="F33" i="7"/>
  <c r="F26" i="7"/>
  <c r="F20" i="7"/>
  <c r="G16" i="7"/>
  <c r="F12" i="7"/>
  <c r="E28" i="6"/>
  <c r="E24" i="6"/>
  <c r="E20" i="6"/>
  <c r="E16" i="6"/>
  <c r="E12" i="6"/>
  <c r="K14" i="4"/>
  <c r="K13" i="4"/>
  <c r="K12" i="4"/>
  <c r="K11" i="4"/>
  <c r="K10" i="4"/>
  <c r="K9" i="4"/>
  <c r="P12" i="3"/>
  <c r="Q23" i="3"/>
  <c r="Q22" i="3"/>
  <c r="P23" i="3"/>
  <c r="P22" i="3"/>
  <c r="Q17" i="3"/>
  <c r="P13" i="3"/>
  <c r="P14" i="3"/>
  <c r="P15" i="3"/>
  <c r="P16" i="3"/>
  <c r="O16" i="3"/>
  <c r="Q16" i="3"/>
  <c r="Q13" i="3"/>
  <c r="Q14" i="3"/>
  <c r="Q15" i="3"/>
  <c r="O13" i="3"/>
  <c r="O14" i="3"/>
  <c r="O15" i="3"/>
  <c r="Q12" i="3"/>
  <c r="O12" i="3"/>
  <c r="O6" i="3"/>
</calcChain>
</file>

<file path=xl/sharedStrings.xml><?xml version="1.0" encoding="utf-8"?>
<sst xmlns="http://schemas.openxmlformats.org/spreadsheetml/2006/main" count="193" uniqueCount="127">
  <si>
    <t>Questions with Their Solutions</t>
  </si>
  <si>
    <t>What are the pootential consequences of analyzing unclean or messy data?</t>
  </si>
  <si>
    <t>Explain the common steps involved in clearing and organizing data.</t>
  </si>
  <si>
    <r>
      <rPr>
        <b/>
        <sz val="11"/>
        <color theme="1"/>
        <rFont val="Aptos Narrow"/>
        <family val="2"/>
        <scheme val="minor"/>
      </rPr>
      <t>Solution</t>
    </r>
    <r>
      <rPr>
        <sz val="11"/>
        <color theme="1"/>
        <rFont val="Aptos Narrow"/>
        <family val="2"/>
        <scheme val="minor"/>
      </rPr>
      <t xml:space="preserve">: Data cleaning is the process of identifying and correcting or removing inaccurate, incomplete, corrupted, or duplicate data from a dataset to improve its quality, consistency, and reliability. It is vital for accurate analysis, informed decision-making, and effective AI adoption. Unclean data leads to faulty insights, wasted resources, and poor business strategies. 
Importance of Data Cleaning in Data Analysis
•	Accuracy: Ensures the data is correct, preventing faulty conclusions.
•	Reliability: Provides a solid foundation for trustworthy analytics.
•	Consistency: Removes conflicting data, such as different formats for the same entry.
•	Efficiency: Simplifies data analysis by keeping only valuable information.
•	Decision-Making: Enables better, data-driven decisions for business growth. 
Consequences of Analyzing Unclean and Messy Data
•	Inaccurate Insights: Algorithms and models may produce incorrect outcomes, even if they appear correct.
•	Wasted Resources &amp; Money: Organizations may waste up to 27% of revenue on poor-quality data.
•	Poor Decisions: Erroneous data leads to wrong business strategies, reducing ROI.
•	Decreased Productivity: Teams spend excessive time fixing data instead of analyzing it.
•	Loss of Trust: Unreliable data diminishes confidence in analytics and reporting. 
Common Steps for Cleaning and Organizing Data
1.	Remove Duplicates and Irrelevant Data: Delete redundant entries and remove data that does not fit the specific analysis scope.
2.	Handle Missing Values: Decide whether to remove rows with missing data or fill them in (imputation) based on the context.
3.	Fix Structural Errors: Correct mislabeled categories, typos, inconsistent capitalization, and syntax errors.
4.	Standardize Formats: Ensure data types are consistent, such as normalizing dates, currencies, or measurements.
5.	Validate and Verify: Check if the cleaned data is accurate, complete, and consistent. 
</t>
    </r>
  </si>
  <si>
    <r>
      <rPr>
        <b/>
        <sz val="11"/>
        <color theme="1"/>
        <rFont val="Aptos Narrow"/>
        <family val="2"/>
        <scheme val="minor"/>
      </rPr>
      <t>Q.1</t>
    </r>
    <r>
      <rPr>
        <sz val="11"/>
        <color theme="1"/>
        <rFont val="Aptos Narrow"/>
        <family val="2"/>
        <scheme val="minor"/>
      </rPr>
      <t xml:space="preserve"> What is data cleaning and why is it important in data analysis?</t>
    </r>
  </si>
  <si>
    <t>Write a step by step approach.</t>
  </si>
  <si>
    <r>
      <rPr>
        <b/>
        <sz val="11"/>
        <color theme="1"/>
        <rFont val="Aptos Narrow"/>
        <family val="2"/>
        <scheme val="minor"/>
      </rPr>
      <t xml:space="preserve">Q.2 </t>
    </r>
    <r>
      <rPr>
        <sz val="11"/>
        <color theme="1"/>
        <rFont val="Aptos Narrow"/>
        <family val="2"/>
        <scheme val="minor"/>
      </rPr>
      <t>How would you sort the following dataset first by "Department" (A-Z) and then by "Salary" (Largest to Smallest)?</t>
    </r>
  </si>
  <si>
    <t>Assignment: Data Cleaning and Essentials</t>
  </si>
  <si>
    <t>Employment</t>
  </si>
  <si>
    <t>Department</t>
  </si>
  <si>
    <t>Salary</t>
  </si>
  <si>
    <t>Sonu</t>
  </si>
  <si>
    <t>Pranav</t>
  </si>
  <si>
    <t>Rahul</t>
  </si>
  <si>
    <t>IT</t>
  </si>
  <si>
    <t>HR</t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</si>
  <si>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 Step by Step Approach</t>
    </r>
  </si>
  <si>
    <t>Select the whole table (including headers)</t>
  </si>
  <si>
    <r>
      <t xml:space="preserve"> Data </t>
    </r>
    <r>
      <rPr>
        <sz val="11"/>
        <color theme="1"/>
        <rFont val="Aptos Narrow"/>
        <family val="2"/>
      </rPr>
      <t>→ Sort</t>
    </r>
  </si>
  <si>
    <t>Add level 1: Sort by = Department, Sort On =Values, Order =A to Z</t>
  </si>
  <si>
    <t>Add level 2: Then by =Salary, Sort on =Values, Order =Largest to Smallest</t>
  </si>
  <si>
    <t>Click OK</t>
  </si>
  <si>
    <r>
      <rPr>
        <b/>
        <sz val="11"/>
        <color theme="1"/>
        <rFont val="Aptos Narrow"/>
        <family val="2"/>
        <scheme val="minor"/>
      </rPr>
      <t>Q.3</t>
    </r>
    <r>
      <rPr>
        <sz val="11"/>
        <color theme="1"/>
        <rFont val="Aptos Narrow"/>
        <family val="2"/>
        <scheme val="minor"/>
      </rPr>
      <t xml:space="preserve"> Explain the use of text functions such as TRIM, LEFT, RIGHT, MID, and CONCAT in data cleaning.</t>
    </r>
  </si>
  <si>
    <t>TRIM</t>
  </si>
  <si>
    <t>John     Doe</t>
  </si>
  <si>
    <t>Name</t>
  </si>
  <si>
    <t>Sakshi</t>
  </si>
  <si>
    <t xml:space="preserve"> LEFT </t>
  </si>
  <si>
    <t>MID</t>
  </si>
  <si>
    <t>RIGHT</t>
  </si>
  <si>
    <t>Rishabh</t>
  </si>
  <si>
    <t>Abhay</t>
  </si>
  <si>
    <t>Siddharth</t>
  </si>
  <si>
    <t>Janvi</t>
  </si>
  <si>
    <t>First Name</t>
  </si>
  <si>
    <t xml:space="preserve">Last Name </t>
  </si>
  <si>
    <t xml:space="preserve">CONCAT </t>
  </si>
  <si>
    <t>Rajput</t>
  </si>
  <si>
    <t>Aditya</t>
  </si>
  <si>
    <t>Jaiswal</t>
  </si>
  <si>
    <r>
      <rPr>
        <b/>
        <sz val="11"/>
        <color theme="1"/>
        <rFont val="Aptos Narrow"/>
        <family val="2"/>
        <scheme val="minor"/>
      </rPr>
      <t xml:space="preserve">Solution:
1.TRIM 
</t>
    </r>
    <r>
      <rPr>
        <sz val="11"/>
        <color theme="1"/>
        <rFont val="Aptos Narrow"/>
        <family val="2"/>
        <scheme val="minor"/>
      </rPr>
      <t xml:space="preserve">	Use: Removes leading and trailing whitespace from text. Essential for preventing lookup errors and standardizing data entry.
	Example Application: Cleaning up names or postal codes where users accidentally added extra spaces (e.g., " John Doe " becomes "John Doe").
</t>
    </r>
    <r>
      <rPr>
        <b/>
        <sz val="11"/>
        <color theme="1"/>
        <rFont val="Aptos Narrow"/>
        <family val="2"/>
        <scheme val="minor"/>
      </rPr>
      <t>2.LEFT</t>
    </r>
    <r>
      <rPr>
        <sz val="11"/>
        <color theme="1"/>
        <rFont val="Aptos Narrow"/>
        <family val="2"/>
        <scheme val="minor"/>
      </rPr>
      <t xml:space="preserve">	        
	Use: Extracts a specific number of characters from the beginning (left side) of a text string.
	Example Application: Isolating area codes from phone numbers or extracting product codes from item identifiers.
</t>
    </r>
    <r>
      <rPr>
        <b/>
        <sz val="11"/>
        <color theme="1"/>
        <rFont val="Aptos Narrow"/>
        <family val="2"/>
        <scheme val="minor"/>
      </rPr>
      <t>3.RIGHT</t>
    </r>
    <r>
      <rPr>
        <sz val="11"/>
        <color theme="1"/>
        <rFont val="Aptos Narrow"/>
        <family val="2"/>
        <scheme val="minor"/>
      </rPr>
      <t xml:space="preserve">	   
	Use: Extracts a specific number of characters from the end (right side) of a text string.
	Example Application: Pulling the file extension from a filename (e.g., "shi" from "Sakshi") or the last four digits of a Social Security number.
</t>
    </r>
    <r>
      <rPr>
        <b/>
        <sz val="11"/>
        <color theme="1"/>
        <rFont val="Aptos Narrow"/>
        <family val="2"/>
        <scheme val="minor"/>
      </rPr>
      <t>4.MID</t>
    </r>
    <r>
      <rPr>
        <sz val="11"/>
        <color theme="1"/>
        <rFont val="Aptos Narrow"/>
        <family val="2"/>
        <scheme val="minor"/>
      </rPr>
      <t xml:space="preserve">
	Use: Extracts a specific number of characters from the middle of a text string, starting at a designated position.
	Example Application: Isolating specific sections of ID numbers (e.g., extracting the birth date from a structured employee ID: "EMP19850101").
</t>
    </r>
    <r>
      <rPr>
        <b/>
        <sz val="11"/>
        <color theme="1"/>
        <rFont val="Aptos Narrow"/>
        <family val="2"/>
        <scheme val="minor"/>
      </rPr>
      <t>5.CONCAT</t>
    </r>
    <r>
      <rPr>
        <sz val="11"/>
        <color theme="1"/>
        <rFont val="Aptos Narrow"/>
        <family val="2"/>
        <scheme val="minor"/>
      </rPr>
      <t xml:space="preserve">    
	Use:  Joins two or more text strings into one. (Often appears as CONCATENATE, CONCAT, or the &amp; operator depending on the tool).	
	Example Application: Merging separate "First Name" and "Last Name" columns into a single "Full Name" column to create a unified field for reporting or display.</t>
    </r>
  </si>
  <si>
    <t>CONCAT(space)</t>
  </si>
  <si>
    <r>
      <rPr>
        <b/>
        <sz val="11"/>
        <color theme="1"/>
        <rFont val="Aptos Narrow"/>
        <family val="2"/>
        <scheme val="minor"/>
      </rPr>
      <t xml:space="preserve"> Q.4</t>
    </r>
    <r>
      <rPr>
        <sz val="11"/>
        <color theme="1"/>
        <rFont val="Aptos Narrow"/>
        <family val="2"/>
        <scheme val="minor"/>
      </rPr>
      <t xml:space="preserve"> What is the role of date functions like TODAY in managing datasets?</t>
    </r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</si>
  <si>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
Date functions in Excel are built-in formulas that help you create, manipulate, and analyze dates and times automatically.
Examples include:
TODAY()
NOW()
DATE()
YEAR(), MONTH(), DAY()
DATEDIF(), EDATE(), EOMONTH(), etc.
The Role of TODAY() in Managing Datasets:
Automatically Shows the Current Date
Helps Track Data Freshness or Age
Automates Reports and Dashboards 
Supports Conditional Formatting
Useful for Time-Based Filters or Analysis</t>
    </r>
  </si>
  <si>
    <t>EXAMPLES</t>
  </si>
  <si>
    <r>
      <rPr>
        <b/>
        <sz val="11"/>
        <color theme="1"/>
        <rFont val="Aptos Narrow"/>
        <family val="2"/>
        <scheme val="minor"/>
      </rPr>
      <t>Q.5</t>
    </r>
    <r>
      <rPr>
        <sz val="11"/>
        <color theme="1"/>
        <rFont val="Aptos Narrow"/>
        <family val="2"/>
        <scheme val="minor"/>
      </rPr>
      <t xml:space="preserve"> Apply Data Validation to restrict Quantity values to only whole numbers between 1 and 10. </t>
    </r>
  </si>
  <si>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 Configure an input message that appears when a user selects a cell in the "Quantity" column explaining:_x000B_ "Please enter a whole number between 1 and 10."</t>
    </r>
  </si>
  <si>
    <r>
      <rPr>
        <b/>
        <sz val="11"/>
        <color theme="1"/>
        <rFont val="Aptos Narrow"/>
        <family val="2"/>
        <scheme val="minor"/>
      </rPr>
      <t xml:space="preserve">b. </t>
    </r>
    <r>
      <rPr>
        <sz val="11"/>
        <color theme="1"/>
        <rFont val="Aptos Narrow"/>
        <family val="2"/>
        <scheme val="minor"/>
      </rPr>
      <t>Set up an error alert message that triggers if the user enters a number less than 1 or greater than 10, showing:_x000B_ "Invalid input! The quantity must be a whole number between 1 and 10."</t>
    </r>
  </si>
  <si>
    <t>Customer Name</t>
  </si>
  <si>
    <t>Product Name</t>
  </si>
  <si>
    <t>Category</t>
  </si>
  <si>
    <t>Quantity</t>
  </si>
  <si>
    <t>Unit Price (s)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</si>
  <si>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</si>
  <si>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</si>
  <si>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</si>
  <si>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</si>
  <si>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</si>
  <si>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</si>
  <si>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</si>
  <si>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</si>
  <si>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</si>
  <si>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</si>
  <si>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</si>
  <si>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</si>
  <si>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</si>
  <si>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</si>
  <si>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</si>
  <si>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 Shirt</t>
  </si>
  <si>
    <t>Electronics</t>
  </si>
  <si>
    <t>Clothing</t>
  </si>
  <si>
    <t>Home Décor</t>
  </si>
  <si>
    <t>Write a step by step approach for this question</t>
  </si>
  <si>
    <t>Solution:</t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</si>
  <si>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
The step-by-step procedure:
1.Select the cells under the Quantity column where you want to apply validation.
2.Go to the Data tab on the Ribbon.
3.Click Data Validation → Data Validation…
4.In the Settings tab:
•	Set Allow to Whole number.
•	Set Data to between.
•	Enter Minimum = 1 and Maximum = 10.
5.In the Input Message tab:
•	Check Show input message when cell is selected.
•	Enter the message: “Please enter a whole number between 1 and 10.”
6.In the Error Alert tab:
•	Set Style to Stop.
•	Title: “Invalid input!”
•	Error message: “The quantity must be a whole number between 1 and 10.”
7.Click OK to apply the settings.
8.Test the rule by trying to enter values below 1 or above 10.</t>
    </r>
  </si>
  <si>
    <t>ExcelTipsareGreat</t>
  </si>
  <si>
    <t>DataAnalysis.xlsx</t>
  </si>
  <si>
    <t>w</t>
  </si>
  <si>
    <r>
      <rPr>
        <b/>
        <sz val="11"/>
        <color theme="1"/>
        <rFont val="Aptos Narrow"/>
        <family val="2"/>
        <scheme val="minor"/>
      </rPr>
      <t>Q.6</t>
    </r>
    <r>
      <rPr>
        <sz val="11"/>
        <color theme="1"/>
        <rFont val="Aptos Narrow"/>
        <family val="2"/>
        <scheme val="minor"/>
      </rPr>
      <t xml:space="preserve"> Understand and apply fundamental text functions like LEFT, RIGHT, MID, and LEN. 
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	Extract the first 5 characters from the string "ExcelTipsAreGreat" using the LEFT function.
</t>
    </r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	Extract the last 4 characters from "DataAnalysis.xlsx" using the RIGHT function.
</t>
    </r>
    <r>
      <rPr>
        <b/>
        <sz val="11"/>
        <color theme="1"/>
        <rFont val="Aptos Narrow"/>
        <family val="2"/>
        <scheme val="minor"/>
      </rPr>
      <t>c.</t>
    </r>
    <r>
      <rPr>
        <sz val="11"/>
        <color theme="1"/>
        <rFont val="Aptos Narrow"/>
        <family val="2"/>
        <scheme val="minor"/>
      </rPr>
      <t xml:space="preserve">Extract the substring "Tips" from "ExcelTipsAreGreat" using the MID function. 
</t>
    </r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	Count the total number of characters in the string "Hello World!" using the LEN function. 
</t>
    </r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 xml:space="preserve">	Create a formula to extract the middle 6 characters from "12345-67890-ABCDE".</t>
    </r>
  </si>
  <si>
    <t>ExcelTipsAreGreat</t>
  </si>
  <si>
    <t>Hello World!</t>
  </si>
  <si>
    <t>1234-67890-ABCDE</t>
  </si>
  <si>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 Extract the first 5 characters from the string "ExcelTipsAreGreat" using the LEFT function.</t>
    </r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</si>
  <si>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Extract the last 4 characters from "DataAnalysis.xlsx" using the RIGHT function.</t>
    </r>
  </si>
  <si>
    <r>
      <rPr>
        <b/>
        <sz val="11"/>
        <color theme="1"/>
        <rFont val="Aptos Narrow"/>
        <family val="2"/>
        <scheme val="minor"/>
      </rPr>
      <t>c.</t>
    </r>
    <r>
      <rPr>
        <sz val="11"/>
        <color theme="1"/>
        <rFont val="Aptos Narrow"/>
        <family val="2"/>
        <scheme val="minor"/>
      </rPr>
      <t xml:space="preserve"> Extract the substring "Tips" from "ExcelTipsAreGreat" using the MID function.</t>
    </r>
  </si>
  <si>
    <r>
      <rPr>
        <b/>
        <sz val="11"/>
        <color theme="1"/>
        <rFont val="Aptos Narrow"/>
        <family val="2"/>
        <scheme val="minor"/>
      </rPr>
      <t xml:space="preserve">d. </t>
    </r>
    <r>
      <rPr>
        <sz val="11"/>
        <color theme="1"/>
        <rFont val="Aptos Narrow"/>
        <family val="2"/>
        <scheme val="minor"/>
      </rPr>
      <t>Count the total number of characters in the string "Hello World!" using the LEN function.</t>
    </r>
  </si>
  <si>
    <r>
      <rPr>
        <b/>
        <sz val="11"/>
        <color theme="1"/>
        <rFont val="Aptos Narrow"/>
        <family val="2"/>
        <scheme val="minor"/>
      </rPr>
      <t xml:space="preserve">e. </t>
    </r>
    <r>
      <rPr>
        <sz val="11"/>
        <color theme="1"/>
        <rFont val="Aptos Narrow"/>
        <family val="2"/>
        <scheme val="minor"/>
      </rPr>
      <t>Ceate a formula to extract the middle characters from "12345-67890-ABCDE".</t>
    </r>
  </si>
  <si>
    <r>
      <rPr>
        <b/>
        <sz val="11"/>
        <color theme="1"/>
        <rFont val="Aptos Narrow"/>
        <family val="2"/>
        <scheme val="minor"/>
      </rPr>
      <t xml:space="preserve">Q.7 </t>
    </r>
    <r>
      <rPr>
        <sz val="11"/>
        <color theme="1"/>
        <rFont val="Aptos Narrow"/>
        <family val="2"/>
        <scheme val="minor"/>
      </rPr>
      <t xml:space="preserve">Understand how to combine text using CONCAT, TEXTJOIN, and the &amp; operator. 
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Use CONCAT to combine "Hello" and "World" with a space in between.
</t>
    </r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Combine "Apple", "Banana", and "Cherry" into a single string separated by commas using TEXTJOIN.
</t>
    </r>
    <r>
      <rPr>
        <b/>
        <sz val="11"/>
        <color theme="1"/>
        <rFont val="Aptos Narrow"/>
        <family val="2"/>
        <scheme val="minor"/>
      </rPr>
      <t>c.</t>
    </r>
    <r>
      <rPr>
        <sz val="11"/>
        <color theme="1"/>
        <rFont val="Aptos Narrow"/>
        <family val="2"/>
        <scheme val="minor"/>
      </rPr>
      <t xml:space="preserve">Use the &amp; operator to create the string "2025: Excel Functions" by combining "2025", ": ", and "Excel Functions".
</t>
    </r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Create a comma-separated list from the range A1:A5 using TEXTJOIN 
</t>
    </r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>Combine first names in column A with last names in column B to create full names in column C.</t>
    </r>
  </si>
  <si>
    <r>
      <rPr>
        <b/>
        <sz val="11"/>
        <color theme="1"/>
        <rFont val="Aptos Narrow"/>
        <family val="2"/>
        <scheme val="minor"/>
      </rPr>
      <t xml:space="preserve">a. </t>
    </r>
    <r>
      <rPr>
        <sz val="11"/>
        <color theme="1"/>
        <rFont val="Aptos Narrow"/>
        <family val="2"/>
        <scheme val="minor"/>
      </rPr>
      <t>Use CONCAT to combine "Hello" and "World" with a space in between.</t>
    </r>
  </si>
  <si>
    <t>Hello</t>
  </si>
  <si>
    <t>World</t>
  </si>
  <si>
    <t>Apple</t>
  </si>
  <si>
    <t>Banana</t>
  </si>
  <si>
    <t>Cherry</t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</si>
  <si>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Combine "Apple", "Banana", and "Cherry" into a single string seperated by commas using TEXTJOIN.</t>
    </r>
  </si>
  <si>
    <r>
      <rPr>
        <b/>
        <sz val="11"/>
        <color theme="1"/>
        <rFont val="Aptos Narrow"/>
        <family val="2"/>
        <scheme val="minor"/>
      </rPr>
      <t xml:space="preserve">c. </t>
    </r>
    <r>
      <rPr>
        <sz val="11"/>
        <color theme="1"/>
        <rFont val="Aptos Narrow"/>
        <family val="2"/>
        <scheme val="minor"/>
      </rPr>
      <t xml:space="preserve">Use the &amp; operator to create the string "2025: Excel Functions" by combining "2025",":", and "Excel Functions". </t>
    </r>
  </si>
  <si>
    <t>Excel Functions</t>
  </si>
  <si>
    <r>
      <t xml:space="preserve">d. </t>
    </r>
    <r>
      <rPr>
        <sz val="11"/>
        <color theme="1"/>
        <rFont val="Aptos Narrow"/>
        <family val="2"/>
        <scheme val="minor"/>
      </rPr>
      <t>Create a comma-seperated list from the range A1:A5 using TEXTJOIN.</t>
    </r>
  </si>
  <si>
    <t>Papaya</t>
  </si>
  <si>
    <t>Orange</t>
  </si>
  <si>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 xml:space="preserve"> Combine first names in column A with last names column B to create full name in column C.</t>
    </r>
  </si>
  <si>
    <t>Last Name</t>
  </si>
  <si>
    <t>Full Name</t>
  </si>
  <si>
    <t>Ishita</t>
  </si>
  <si>
    <t>Shrey</t>
  </si>
  <si>
    <t>Mishra</t>
  </si>
  <si>
    <r>
      <rPr>
        <b/>
        <sz val="11"/>
        <color theme="1"/>
        <rFont val="Aptos Narrow"/>
        <family val="2"/>
        <scheme val="minor"/>
      </rPr>
      <t>Q.8</t>
    </r>
    <r>
      <rPr>
        <sz val="11"/>
        <color theme="1"/>
        <rFont val="Aptos Narrow"/>
        <family val="2"/>
        <scheme val="minor"/>
      </rPr>
      <t xml:space="preserve"> Understanding TODAY() and NOW()  </t>
    </r>
  </si>
  <si>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 What is the difference between TODAY() and NOW() in Excel? Provide an example of when you would use each function. </t>
    </r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</si>
  <si>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If cell A1 contains the date 2025-06-10, write a formula using TODAY() to determine how many days are left until that date</t>
    </r>
  </si>
  <si>
    <r>
      <rPr>
        <b/>
        <sz val="11"/>
        <color theme="1"/>
        <rFont val="Aptos Narrow"/>
        <family val="2"/>
        <scheme val="minor"/>
      </rPr>
      <t xml:space="preserve">c. </t>
    </r>
    <r>
      <rPr>
        <sz val="11"/>
        <color theme="1"/>
        <rFont val="Aptos Narrow"/>
        <family val="2"/>
        <scheme val="minor"/>
      </rPr>
      <t>Write an Excel formula using NOW() to display the current date and time in the format MM/DD/YYYY HH:MM AM/PM. ́</t>
    </r>
  </si>
  <si>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 If a cell contains =TODAY(), what will happen when the worksheet is reopened the next day? Explain.</t>
    </r>
  </si>
  <si>
    <r>
      <rPr>
        <b/>
        <sz val="11"/>
        <color theme="1"/>
        <rFont val="Aptos Narrow"/>
        <family val="2"/>
        <scheme val="minor"/>
      </rPr>
      <t>e.</t>
    </r>
    <r>
      <rPr>
        <sz val="11"/>
        <color theme="1"/>
        <rFont val="Aptos Narrow"/>
        <family val="2"/>
        <scheme val="minor"/>
      </rPr>
      <t xml:space="preserve"> You want to store a static date (today’s date) in a cell without it changing every day. What keyboard shortcut should you use?</t>
    </r>
  </si>
  <si>
    <t>TODAY()</t>
  </si>
  <si>
    <t>Returns the current date formatted as a serial number (e.g., 45657), typically displayed as MM/DD/YYYY. It does not include time.</t>
  </si>
  <si>
    <t>Purpose: This provides a dynamic daily countdown, ensuring the number of days updates every time the file is opened.</t>
  </si>
  <si>
    <t>Formula: =A1 - TODAY() (where A1 is the deadline date).</t>
  </si>
  <si>
    <t>NOW()</t>
  </si>
  <si>
    <t>Example: Time-Stamping Activity(To record the exact time a specific action was performed or when a report was generated)</t>
  </si>
  <si>
    <t>Formula: =IF(A2&lt;&gt;"", NOW(), "") (if cell A2 is updated, generate a timestamp).</t>
  </si>
  <si>
    <t>Purpose: This is used to track precise, minute-by-minute activity in logs.</t>
  </si>
  <si>
    <t>Returns the current date and time (e.g., 45657.5 for 12:00 PM).</t>
  </si>
  <si>
    <t xml:space="preserve">Both functions are volatile; they update every time the worksheet recalculates (e.g., opening the file or entering data). </t>
  </si>
  <si>
    <t>Example: Project Management (To calculate how many days are remaining until a project deadline).</t>
  </si>
  <si>
    <r>
      <rPr>
        <b/>
        <sz val="11"/>
        <color theme="1"/>
        <rFont val="Aptos Narrow"/>
        <family val="2"/>
        <scheme val="minor"/>
      </rPr>
      <t>b.</t>
    </r>
    <r>
      <rPr>
        <sz val="11"/>
        <color theme="1"/>
        <rFont val="Aptos Narrow"/>
        <family val="2"/>
        <scheme val="minor"/>
      </rPr>
      <t xml:space="preserve"> If cell C27 contains the date 2025-06-10, write a formula using TODAY() to determine how many days are left until that date.</t>
    </r>
  </si>
  <si>
    <r>
      <rPr>
        <b/>
        <sz val="11"/>
        <color theme="1"/>
        <rFont val="Aptos Narrow"/>
        <family val="2"/>
        <scheme val="minor"/>
      </rPr>
      <t>d.</t>
    </r>
    <r>
      <rPr>
        <sz val="11"/>
        <color theme="1"/>
        <rFont val="Aptos Narrow"/>
        <family val="2"/>
        <scheme val="minor"/>
      </rPr>
      <t xml:space="preserve"> If a cell contains =TODAY(), what will happen when the worksheet is reopened the next day? Explain</t>
    </r>
  </si>
  <si>
    <t>When a cell in a spreadsheet contains the formula =TODAY(), the displayed value will automatically update to reflect the current date each time the workbook is opened or recalculated.</t>
  </si>
  <si>
    <t>To store a static, non-updating date (today's date) in an Excel cell, use the shortcut Ctrl + ; (semicolon)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</si>
</sst>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 tint="4.9989318521683403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8" xfId="0" applyBorder="1"/>
    <xf numFmtId="0" fontId="0" fillId="0" borderId="9" xfId="0" applyBorder="1"/>
    <xf numFmtId="0" fontId="1" fillId="3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3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1" fillId="4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1" fillId="6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0" borderId="11" xfId="0" applyBorder="1" applyAlignment="1">
      <alignment vertical="top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2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6" borderId="22" xfId="0" applyFont="1" applyFill="1" applyBorder="1" applyAlignment="1">
      <alignment horizontal="center" vertical="center"/>
    </xf>
    <xf numFmtId="14" fontId="0" fillId="5" borderId="23" xfId="0" applyNumberForma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14" fontId="0" fillId="0" borderId="9" xfId="0" applyNumberFormat="1" applyBorder="1"/>
    <xf numFmtId="0" fontId="0" fillId="0" borderId="11" xfId="0" applyBorder="1" applyAlignment="1">
      <alignment vertical="top" wrapText="1"/>
    </xf>
    <xf numFmtId="0" fontId="1" fillId="3" borderId="1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0" borderId="9" xfId="0" applyBorder="1" applyAlignment="1">
      <alignment vertical="top"/>
    </xf>
    <xf numFmtId="0" fontId="1" fillId="0" borderId="11" xfId="0" applyFont="1" applyBorder="1" applyAlignment="1">
      <alignment horizontal="left" vertical="top"/>
    </xf>
    <xf numFmtId="0" fontId="0" fillId="0" borderId="12" xfId="0" applyBorder="1" applyAlignment="1">
      <alignment vertical="top"/>
    </xf>
    <xf numFmtId="0" fontId="0" fillId="0" borderId="9" xfId="0" applyBorder="1" applyAlignment="1">
      <alignment horizontal="left" vertical="top"/>
    </xf>
    <xf numFmtId="0" fontId="0" fillId="6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 vertical="top"/>
    </xf>
    <xf numFmtId="0" fontId="1" fillId="0" borderId="0" xfId="0" applyFont="1"/>
    <xf numFmtId="0" fontId="0" fillId="0" borderId="9" xfId="0" applyBorder="1" applyAlignment="1">
      <alignment horizontal="left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" fillId="0" borderId="8" xfId="0" applyFont="1" applyBorder="1"/>
    <xf numFmtId="0" fontId="0" fillId="0" borderId="11" xfId="0" applyBorder="1" applyAlignment="1">
      <alignment horizontal="left" vertical="top"/>
    </xf>
    <xf numFmtId="0" fontId="1" fillId="2" borderId="8" xfId="0" applyFont="1" applyFill="1" applyBorder="1"/>
    <xf numFmtId="14" fontId="0" fillId="2" borderId="0" xfId="0" applyNumberFormat="1" applyFill="1"/>
    <xf numFmtId="14" fontId="0" fillId="6" borderId="1" xfId="0" applyNumberFormat="1" applyFill="1" applyBorder="1"/>
    <xf numFmtId="22" fontId="0" fillId="5" borderId="1" xfId="0" applyNumberFormat="1" applyFill="1" applyBorder="1"/>
    <xf numFmtId="14" fontId="0" fillId="5" borderId="1" xfId="0" applyNumberFormat="1" applyFill="1" applyBorder="1"/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9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9" xfId="0" applyFill="1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CD91-7AC5-4053-B208-9BC10534E071}">
  <sheetPr>
    <tabColor theme="3"/>
  </sheetPr>
  <dimension ref="A1:V48"/>
  <sheetViews>
    <sheetView tabSelected="1" zoomScale="43" workbookViewId="0">
      <selection activeCell="AG14" sqref="AG14"/>
    </sheetView>
  </sheetViews>
  <sheetFormatPr defaultRowHeight="14.5"/>
  <sheetData>
    <row r="1" spans="1:22" ht="15" thickBot="1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</row>
    <row r="2" spans="1:22" ht="28.5" customHeight="1" thickBot="1">
      <c r="A2" s="4"/>
      <c r="B2" s="102" t="s">
        <v>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  <c r="Q2" s="5"/>
    </row>
    <row r="3" spans="1:22" ht="15" thickBot="1">
      <c r="A3" s="4"/>
      <c r="B3" s="4"/>
      <c r="P3" s="5"/>
      <c r="Q3" s="5"/>
    </row>
    <row r="4" spans="1:22" ht="23" customHeight="1" thickBot="1">
      <c r="A4" s="4"/>
      <c r="B4" s="105" t="s">
        <v>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7"/>
      <c r="Q4" s="5"/>
    </row>
    <row r="5" spans="1:22" ht="15" thickBot="1">
      <c r="A5" s="4"/>
      <c r="B5" s="4"/>
      <c r="P5" s="5"/>
      <c r="Q5" s="5"/>
    </row>
    <row r="6" spans="1:22">
      <c r="A6" s="4"/>
      <c r="B6" s="108" t="s">
        <v>4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5"/>
    </row>
    <row r="7" spans="1:22">
      <c r="A7" s="4"/>
      <c r="B7" s="111" t="s">
        <v>1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5"/>
    </row>
    <row r="8" spans="1:22" ht="15" thickBot="1">
      <c r="A8" s="4"/>
      <c r="B8" s="114" t="s">
        <v>2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5"/>
    </row>
    <row r="9" spans="1:22">
      <c r="A9" s="4"/>
      <c r="B9" s="93" t="s">
        <v>3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5"/>
      <c r="Q9" s="5"/>
    </row>
    <row r="10" spans="1:22">
      <c r="A10" s="4"/>
      <c r="B10" s="96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8"/>
      <c r="Q10" s="5"/>
    </row>
    <row r="11" spans="1:22">
      <c r="A11" s="4"/>
      <c r="B11" s="96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8"/>
      <c r="Q11" s="5"/>
    </row>
    <row r="12" spans="1:22">
      <c r="A12" s="4"/>
      <c r="B12" s="96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8"/>
      <c r="Q12" s="5"/>
    </row>
    <row r="13" spans="1:22">
      <c r="A13" s="4"/>
      <c r="B13" s="96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/>
      <c r="Q13" s="5"/>
    </row>
    <row r="14" spans="1:22">
      <c r="A14" s="4"/>
      <c r="B14" s="96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8"/>
      <c r="Q14" s="5"/>
    </row>
    <row r="15" spans="1:22">
      <c r="A15" s="4"/>
      <c r="B15" s="96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/>
      <c r="Q15" s="5"/>
    </row>
    <row r="16" spans="1:22">
      <c r="A16" s="4"/>
      <c r="B16" s="96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8"/>
      <c r="Q16" s="5"/>
      <c r="V16" s="3"/>
    </row>
    <row r="17" spans="1:17">
      <c r="A17" s="4"/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8"/>
      <c r="Q17" s="5"/>
    </row>
    <row r="18" spans="1:17">
      <c r="A18" s="4"/>
      <c r="B18" s="96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  <c r="Q18" s="5"/>
    </row>
    <row r="19" spans="1:17">
      <c r="A19" s="4"/>
      <c r="B19" s="96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8"/>
      <c r="Q19" s="5"/>
    </row>
    <row r="20" spans="1:17">
      <c r="A20" s="4"/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8"/>
      <c r="Q20" s="5"/>
    </row>
    <row r="21" spans="1:17">
      <c r="A21" s="4"/>
      <c r="B21" s="96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8"/>
      <c r="Q21" s="5"/>
    </row>
    <row r="22" spans="1:17">
      <c r="A22" s="4"/>
      <c r="B22" s="96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5"/>
    </row>
    <row r="23" spans="1:17">
      <c r="A23" s="4"/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8"/>
      <c r="Q23" s="5"/>
    </row>
    <row r="24" spans="1:17">
      <c r="A24" s="4"/>
      <c r="B24" s="96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8"/>
      <c r="Q24" s="5"/>
    </row>
    <row r="25" spans="1:17">
      <c r="A25" s="4"/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8"/>
      <c r="Q25" s="5"/>
    </row>
    <row r="26" spans="1:17">
      <c r="A26" s="4"/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8"/>
      <c r="Q26" s="5"/>
    </row>
    <row r="27" spans="1:17">
      <c r="A27" s="4"/>
      <c r="B27" s="9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8"/>
      <c r="Q27" s="5"/>
    </row>
    <row r="28" spans="1:17">
      <c r="A28" s="4"/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8"/>
      <c r="Q28" s="5"/>
    </row>
    <row r="29" spans="1:17">
      <c r="A29" s="4"/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8"/>
      <c r="Q29" s="5"/>
    </row>
    <row r="30" spans="1:17" ht="15" thickBot="1">
      <c r="A30" s="4"/>
      <c r="B30" s="99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1"/>
      <c r="Q30" s="5"/>
    </row>
    <row r="31" spans="1:17" ht="15" thickBot="1">
      <c r="A31" s="10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12"/>
    </row>
    <row r="32" spans="1:17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2:16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</sheetData>
  <mergeCells count="6">
    <mergeCell ref="B9:P30"/>
    <mergeCell ref="B2:P2"/>
    <mergeCell ref="B4:P4"/>
    <mergeCell ref="B6:P6"/>
    <mergeCell ref="B7:P7"/>
    <mergeCell ref="B8:P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6A6-A58C-4909-AB41-E54AB4850DAA}">
  <sheetPr>
    <tabColor theme="3"/>
  </sheetPr>
  <dimension ref="A2:P19"/>
  <sheetViews>
    <sheetView zoomScale="63" zoomScaleNormal="86" workbookViewId="0">
      <selection activeCell="E33" sqref="E33"/>
    </sheetView>
  </sheetViews>
  <sheetFormatPr defaultRowHeight="14.5"/>
  <cols>
    <col min="2" max="2" width="9.1796875" customWidth="1"/>
    <col min="3" max="3" width="11.54296875" customWidth="1"/>
    <col min="4" max="4" width="10.90625" customWidth="1"/>
    <col min="10" max="10" width="11.1796875" customWidth="1"/>
    <col min="11" max="11" width="10.453125" customWidth="1"/>
  </cols>
  <sheetData>
    <row r="2" spans="1:16" ht="15" thickBot="1">
      <c r="A2" s="4"/>
    </row>
    <row r="3" spans="1:16">
      <c r="A3" s="4"/>
      <c r="B3" s="120" t="s">
        <v>6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</row>
    <row r="4" spans="1:16" ht="15" thickBot="1">
      <c r="A4" s="4"/>
      <c r="B4" s="114" t="s">
        <v>5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6"/>
    </row>
    <row r="5" spans="1:16" ht="15" thickBot="1">
      <c r="A5" s="4"/>
      <c r="B5" s="4"/>
      <c r="P5" s="5"/>
    </row>
    <row r="6" spans="1:16">
      <c r="A6" s="4"/>
      <c r="B6" s="4"/>
      <c r="C6" s="6" t="s">
        <v>8</v>
      </c>
      <c r="D6" s="6" t="s">
        <v>9</v>
      </c>
      <c r="E6" s="6" t="s">
        <v>10</v>
      </c>
      <c r="F6" s="21"/>
      <c r="G6" s="21"/>
      <c r="H6" s="123" t="s">
        <v>16</v>
      </c>
      <c r="I6" s="124"/>
      <c r="J6" s="124"/>
      <c r="K6" s="124"/>
      <c r="L6" s="124"/>
      <c r="M6" s="124"/>
      <c r="N6" s="124"/>
      <c r="O6" s="125"/>
      <c r="P6" s="22"/>
    </row>
    <row r="7" spans="1:16">
      <c r="A7" s="4"/>
      <c r="B7" s="23"/>
      <c r="C7" s="7" t="s">
        <v>11</v>
      </c>
      <c r="D7" s="7" t="s">
        <v>14</v>
      </c>
      <c r="E7" s="9">
        <v>4000</v>
      </c>
      <c r="F7" s="1"/>
      <c r="G7" s="1"/>
      <c r="H7" s="117" t="s">
        <v>17</v>
      </c>
      <c r="I7" s="118"/>
      <c r="J7" s="118"/>
      <c r="K7" s="118"/>
      <c r="L7" s="118"/>
      <c r="M7" s="118"/>
      <c r="N7" s="118"/>
      <c r="O7" s="119"/>
      <c r="P7" s="24"/>
    </row>
    <row r="8" spans="1:16">
      <c r="A8" s="4"/>
      <c r="B8" s="25"/>
      <c r="C8" s="7" t="s">
        <v>12</v>
      </c>
      <c r="D8" s="7" t="s">
        <v>15</v>
      </c>
      <c r="E8" s="9">
        <v>5000</v>
      </c>
      <c r="H8" s="117" t="s">
        <v>18</v>
      </c>
      <c r="I8" s="118"/>
      <c r="J8" s="118"/>
      <c r="K8" s="118"/>
      <c r="L8" s="118"/>
      <c r="M8" s="118"/>
      <c r="N8" s="118"/>
      <c r="O8" s="119"/>
      <c r="P8" s="5"/>
    </row>
    <row r="9" spans="1:16">
      <c r="A9" s="4"/>
      <c r="B9" s="23"/>
      <c r="C9" s="7" t="s">
        <v>13</v>
      </c>
      <c r="D9" s="7" t="s">
        <v>14</v>
      </c>
      <c r="E9" s="9">
        <v>2500</v>
      </c>
      <c r="H9" s="117" t="s">
        <v>19</v>
      </c>
      <c r="I9" s="118"/>
      <c r="J9" s="118"/>
      <c r="K9" s="118"/>
      <c r="L9" s="118"/>
      <c r="M9" s="118"/>
      <c r="N9" s="118"/>
      <c r="O9" s="119"/>
      <c r="P9" s="5"/>
    </row>
    <row r="10" spans="1:16">
      <c r="A10" s="4"/>
      <c r="B10" s="4"/>
      <c r="H10" s="117" t="s">
        <v>20</v>
      </c>
      <c r="I10" s="118"/>
      <c r="J10" s="118"/>
      <c r="K10" s="118"/>
      <c r="L10" s="118"/>
      <c r="M10" s="118"/>
      <c r="N10" s="118"/>
      <c r="O10" s="119"/>
      <c r="P10" s="5"/>
    </row>
    <row r="11" spans="1:16">
      <c r="A11" s="4"/>
      <c r="B11" s="4"/>
      <c r="H11" s="117" t="s">
        <v>21</v>
      </c>
      <c r="I11" s="118"/>
      <c r="J11" s="118"/>
      <c r="K11" s="118"/>
      <c r="L11" s="118"/>
      <c r="M11" s="118"/>
      <c r="N11" s="118"/>
      <c r="O11" s="119"/>
      <c r="P11" s="5"/>
    </row>
    <row r="12" spans="1:16">
      <c r="A12" s="4"/>
      <c r="B12" s="4"/>
      <c r="H12" s="13"/>
      <c r="I12" s="14"/>
      <c r="J12" s="14"/>
      <c r="K12" s="14"/>
      <c r="L12" s="14"/>
      <c r="M12" s="14"/>
      <c r="N12" s="14"/>
      <c r="O12" s="15"/>
      <c r="P12" s="5"/>
    </row>
    <row r="13" spans="1:16">
      <c r="A13" s="4"/>
      <c r="B13" s="4"/>
      <c r="H13" s="13"/>
      <c r="I13" s="14"/>
      <c r="J13" s="19" t="s">
        <v>8</v>
      </c>
      <c r="K13" s="19" t="s">
        <v>9</v>
      </c>
      <c r="L13" s="19" t="s">
        <v>10</v>
      </c>
      <c r="M13" s="14"/>
      <c r="N13" s="14"/>
      <c r="O13" s="15"/>
      <c r="P13" s="5"/>
    </row>
    <row r="14" spans="1:16">
      <c r="A14" s="4"/>
      <c r="B14" s="4"/>
      <c r="H14" s="13"/>
      <c r="I14" s="14"/>
      <c r="J14" s="20" t="s">
        <v>12</v>
      </c>
      <c r="K14" s="20" t="s">
        <v>15</v>
      </c>
      <c r="L14" s="20">
        <v>5000</v>
      </c>
      <c r="M14" s="14"/>
      <c r="N14" s="14"/>
      <c r="O14" s="15"/>
      <c r="P14" s="5"/>
    </row>
    <row r="15" spans="1:16">
      <c r="A15" s="4"/>
      <c r="B15" s="4"/>
      <c r="H15" s="13"/>
      <c r="I15" s="14"/>
      <c r="J15" s="20" t="s">
        <v>11</v>
      </c>
      <c r="K15" s="20" t="s">
        <v>14</v>
      </c>
      <c r="L15" s="20">
        <v>4000</v>
      </c>
      <c r="M15" s="14"/>
      <c r="N15" s="14"/>
      <c r="O15" s="15"/>
      <c r="P15" s="5"/>
    </row>
    <row r="16" spans="1:16">
      <c r="A16" s="4"/>
      <c r="B16" s="4"/>
      <c r="H16" s="13"/>
      <c r="I16" s="14"/>
      <c r="J16" s="20" t="s">
        <v>13</v>
      </c>
      <c r="K16" s="20" t="s">
        <v>14</v>
      </c>
      <c r="L16" s="20">
        <v>2500</v>
      </c>
      <c r="M16" s="14"/>
      <c r="N16" s="14"/>
      <c r="O16" s="15"/>
      <c r="P16" s="5"/>
    </row>
    <row r="17" spans="1:16" ht="15" thickBot="1">
      <c r="A17" s="4"/>
      <c r="B17" s="4"/>
      <c r="H17" s="16"/>
      <c r="I17" s="17"/>
      <c r="J17" s="17"/>
      <c r="K17" s="17"/>
      <c r="L17" s="17"/>
      <c r="M17" s="17"/>
      <c r="N17" s="17"/>
      <c r="O17" s="18"/>
      <c r="P17" s="5"/>
    </row>
    <row r="18" spans="1:16" ht="15" thickBot="1">
      <c r="A18" s="4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1:16">
      <c r="A19" s="4"/>
    </row>
  </sheetData>
  <sortState xmlns:xlrd2="http://schemas.microsoft.com/office/spreadsheetml/2017/richdata2" ref="J14:L16">
    <sortCondition ref="K14:K16"/>
    <sortCondition descending="1" ref="L14:L16"/>
  </sortState>
  <mergeCells count="8">
    <mergeCell ref="H8:O8"/>
    <mergeCell ref="H9:O9"/>
    <mergeCell ref="H10:O10"/>
    <mergeCell ref="H11:O11"/>
    <mergeCell ref="B3:P3"/>
    <mergeCell ref="B4:P4"/>
    <mergeCell ref="H6:O6"/>
    <mergeCell ref="H7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275C-B94F-4547-A88E-39973E64F9AE}">
  <sheetPr>
    <tabColor theme="3"/>
  </sheetPr>
  <dimension ref="A1:R30"/>
  <sheetViews>
    <sheetView zoomScale="51" workbookViewId="0">
      <selection activeCell="U19" sqref="U19"/>
    </sheetView>
  </sheetViews>
  <sheetFormatPr defaultRowHeight="14.5"/>
  <cols>
    <col min="13" max="13" width="8.453125" customWidth="1"/>
    <col min="14" max="14" width="10.26953125" customWidth="1"/>
    <col min="15" max="15" width="10.08984375" customWidth="1"/>
    <col min="16" max="16" width="14" customWidth="1"/>
    <col min="17" max="17" width="16.54296875" customWidth="1"/>
  </cols>
  <sheetData>
    <row r="1" spans="1:18" ht="15" thickBot="1"/>
    <row r="2" spans="1:18" ht="15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1:18" ht="15" thickBot="1">
      <c r="A3" s="4"/>
      <c r="B3" s="126" t="s">
        <v>22</v>
      </c>
      <c r="C3" s="127"/>
      <c r="D3" s="127"/>
      <c r="E3" s="127"/>
      <c r="F3" s="127"/>
      <c r="G3" s="127"/>
      <c r="H3" s="127"/>
      <c r="I3" s="127"/>
      <c r="J3" s="127"/>
      <c r="K3" s="127"/>
      <c r="L3" s="128"/>
      <c r="N3" s="29"/>
      <c r="O3" s="29"/>
      <c r="R3" s="5"/>
    </row>
    <row r="4" spans="1:18" ht="15" thickBot="1">
      <c r="A4" s="4"/>
      <c r="B4" s="93" t="s">
        <v>40</v>
      </c>
      <c r="C4" s="129"/>
      <c r="D4" s="129"/>
      <c r="E4" s="129"/>
      <c r="F4" s="129"/>
      <c r="G4" s="129"/>
      <c r="H4" s="129"/>
      <c r="I4" s="129"/>
      <c r="J4" s="129"/>
      <c r="K4" s="129"/>
      <c r="L4" s="130"/>
      <c r="R4" s="5"/>
    </row>
    <row r="5" spans="1:18">
      <c r="A5" s="4"/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33"/>
      <c r="N5" s="34" t="s">
        <v>25</v>
      </c>
      <c r="O5" s="35" t="s">
        <v>23</v>
      </c>
      <c r="R5" s="5"/>
    </row>
    <row r="6" spans="1:18" ht="15" thickBot="1">
      <c r="A6" s="4"/>
      <c r="B6" s="131"/>
      <c r="C6" s="132"/>
      <c r="D6" s="132"/>
      <c r="E6" s="132"/>
      <c r="F6" s="132"/>
      <c r="G6" s="132"/>
      <c r="H6" s="132"/>
      <c r="I6" s="132"/>
      <c r="J6" s="132"/>
      <c r="K6" s="132"/>
      <c r="L6" s="133"/>
      <c r="N6" s="36" t="s">
        <v>24</v>
      </c>
      <c r="O6" s="37" t="str">
        <f>TRIM(N6)</f>
        <v>John Doe</v>
      </c>
      <c r="R6" s="5"/>
    </row>
    <row r="7" spans="1:18">
      <c r="A7" s="4"/>
      <c r="B7" s="131"/>
      <c r="C7" s="132"/>
      <c r="D7" s="132"/>
      <c r="E7" s="132"/>
      <c r="F7" s="132"/>
      <c r="G7" s="132"/>
      <c r="H7" s="132"/>
      <c r="I7" s="132"/>
      <c r="J7" s="132"/>
      <c r="K7" s="132"/>
      <c r="L7" s="133"/>
      <c r="R7" s="5"/>
    </row>
    <row r="8" spans="1:18">
      <c r="A8" s="4"/>
      <c r="B8" s="131"/>
      <c r="C8" s="132"/>
      <c r="D8" s="132"/>
      <c r="E8" s="132"/>
      <c r="F8" s="132"/>
      <c r="G8" s="132"/>
      <c r="H8" s="132"/>
      <c r="I8" s="132"/>
      <c r="J8" s="132"/>
      <c r="K8" s="132"/>
      <c r="L8" s="133"/>
      <c r="R8" s="5"/>
    </row>
    <row r="9" spans="1:18">
      <c r="A9" s="4"/>
      <c r="B9" s="131"/>
      <c r="C9" s="132"/>
      <c r="D9" s="132"/>
      <c r="E9" s="132"/>
      <c r="F9" s="132"/>
      <c r="G9" s="132"/>
      <c r="H9" s="132"/>
      <c r="I9" s="132"/>
      <c r="J9" s="132"/>
      <c r="K9" s="132"/>
      <c r="L9" s="133"/>
      <c r="R9" s="5"/>
    </row>
    <row r="10" spans="1:18" ht="15" thickBot="1">
      <c r="A10" s="4"/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3"/>
      <c r="R10" s="5"/>
    </row>
    <row r="11" spans="1:18">
      <c r="A11" s="4"/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3"/>
      <c r="N11" s="34" t="s">
        <v>25</v>
      </c>
      <c r="O11" s="38" t="s">
        <v>27</v>
      </c>
      <c r="P11" s="38" t="s">
        <v>28</v>
      </c>
      <c r="Q11" s="35" t="s">
        <v>29</v>
      </c>
      <c r="R11" s="5"/>
    </row>
    <row r="12" spans="1:18">
      <c r="A12" s="4"/>
      <c r="B12" s="131"/>
      <c r="C12" s="132"/>
      <c r="D12" s="132"/>
      <c r="E12" s="132"/>
      <c r="F12" s="132"/>
      <c r="G12" s="132"/>
      <c r="H12" s="132"/>
      <c r="I12" s="132"/>
      <c r="J12" s="132"/>
      <c r="K12" s="132"/>
      <c r="L12" s="133"/>
      <c r="N12" s="39" t="s">
        <v>26</v>
      </c>
      <c r="O12" s="20" t="str">
        <f>LEFT(N12,3)</f>
        <v>Sak</v>
      </c>
      <c r="P12" s="20" t="str">
        <f>MID(N12,2,4)</f>
        <v>aksh</v>
      </c>
      <c r="Q12" s="40" t="str">
        <f>RIGHT(N12,3)</f>
        <v>shi</v>
      </c>
      <c r="R12" s="5"/>
    </row>
    <row r="13" spans="1:18">
      <c r="A13" s="4"/>
      <c r="B13" s="131"/>
      <c r="C13" s="132"/>
      <c r="D13" s="132"/>
      <c r="E13" s="132"/>
      <c r="F13" s="132"/>
      <c r="G13" s="132"/>
      <c r="H13" s="132"/>
      <c r="I13" s="132"/>
      <c r="J13" s="132"/>
      <c r="K13" s="132"/>
      <c r="L13" s="133"/>
      <c r="N13" s="41" t="s">
        <v>30</v>
      </c>
      <c r="O13" s="20" t="str">
        <f t="shared" ref="O13:O16" si="0">LEFT(N13,3)</f>
        <v>Ris</v>
      </c>
      <c r="P13" s="20" t="str">
        <f t="shared" ref="P13:P16" si="1">MID(N13,2,4)</f>
        <v>isha</v>
      </c>
      <c r="Q13" s="40" t="str">
        <f t="shared" ref="Q13:Q17" si="2">RIGHT(N13,3)</f>
        <v>abh</v>
      </c>
      <c r="R13" s="5"/>
    </row>
    <row r="14" spans="1:18">
      <c r="A14" s="4"/>
      <c r="B14" s="131"/>
      <c r="C14" s="132"/>
      <c r="D14" s="132"/>
      <c r="E14" s="132"/>
      <c r="F14" s="132"/>
      <c r="G14" s="132"/>
      <c r="H14" s="132"/>
      <c r="I14" s="132"/>
      <c r="J14" s="132"/>
      <c r="K14" s="132"/>
      <c r="L14" s="133"/>
      <c r="N14" s="41" t="s">
        <v>31</v>
      </c>
      <c r="O14" s="20" t="str">
        <f t="shared" si="0"/>
        <v>Abh</v>
      </c>
      <c r="P14" s="20" t="str">
        <f t="shared" si="1"/>
        <v>bhay</v>
      </c>
      <c r="Q14" s="40" t="str">
        <f t="shared" si="2"/>
        <v>hay</v>
      </c>
      <c r="R14" s="5"/>
    </row>
    <row r="15" spans="1:18">
      <c r="A15" s="4"/>
      <c r="B15" s="131"/>
      <c r="C15" s="132"/>
      <c r="D15" s="132"/>
      <c r="E15" s="132"/>
      <c r="F15" s="132"/>
      <c r="G15" s="132"/>
      <c r="H15" s="132"/>
      <c r="I15" s="132"/>
      <c r="J15" s="132"/>
      <c r="K15" s="132"/>
      <c r="L15" s="133"/>
      <c r="N15" s="41" t="s">
        <v>32</v>
      </c>
      <c r="O15" s="20" t="str">
        <f t="shared" si="0"/>
        <v>Sid</v>
      </c>
      <c r="P15" s="20" t="str">
        <f t="shared" si="1"/>
        <v>iddh</v>
      </c>
      <c r="Q15" s="40" t="str">
        <f t="shared" si="2"/>
        <v>rth</v>
      </c>
      <c r="R15" s="5"/>
    </row>
    <row r="16" spans="1:18" ht="15" thickBot="1">
      <c r="A16" s="4"/>
      <c r="B16" s="131"/>
      <c r="C16" s="132"/>
      <c r="D16" s="132"/>
      <c r="E16" s="132"/>
      <c r="F16" s="132"/>
      <c r="G16" s="132"/>
      <c r="H16" s="132"/>
      <c r="I16" s="132"/>
      <c r="J16" s="132"/>
      <c r="K16" s="132"/>
      <c r="L16" s="133"/>
      <c r="N16" s="42" t="s">
        <v>33</v>
      </c>
      <c r="O16" s="43" t="str">
        <f t="shared" si="0"/>
        <v>Jan</v>
      </c>
      <c r="P16" s="43" t="str">
        <f t="shared" si="1"/>
        <v>anvi</v>
      </c>
      <c r="Q16" s="37" t="str">
        <f t="shared" si="2"/>
        <v>nvi</v>
      </c>
      <c r="R16" s="5"/>
    </row>
    <row r="17" spans="1:18">
      <c r="A17" s="4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3"/>
      <c r="N17" s="1"/>
      <c r="O17" s="8"/>
      <c r="P17" s="8"/>
      <c r="Q17" s="8" t="str">
        <f t="shared" si="2"/>
        <v/>
      </c>
      <c r="R17" s="5"/>
    </row>
    <row r="18" spans="1:18">
      <c r="A18" s="4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3"/>
      <c r="R18" s="5"/>
    </row>
    <row r="19" spans="1:18">
      <c r="A19" s="4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3"/>
      <c r="R19" s="5"/>
    </row>
    <row r="20" spans="1:18" ht="15" thickBot="1">
      <c r="A20" s="4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3"/>
      <c r="R20" s="5"/>
    </row>
    <row r="21" spans="1:18">
      <c r="A21" s="4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3"/>
      <c r="N21" s="34" t="s">
        <v>34</v>
      </c>
      <c r="O21" s="38" t="s">
        <v>35</v>
      </c>
      <c r="P21" s="38" t="s">
        <v>36</v>
      </c>
      <c r="Q21" s="35" t="s">
        <v>41</v>
      </c>
      <c r="R21" s="5"/>
    </row>
    <row r="22" spans="1:18">
      <c r="A22" s="4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3"/>
      <c r="N22" s="39" t="s">
        <v>26</v>
      </c>
      <c r="O22" s="20" t="s">
        <v>37</v>
      </c>
      <c r="P22" s="20" t="str">
        <f>_xlfn.CONCAT(N22,O22)</f>
        <v>SakshiRajput</v>
      </c>
      <c r="Q22" s="40" t="str">
        <f>_xlfn.CONCAT(N22," ",O22)</f>
        <v>Sakshi Rajput</v>
      </c>
      <c r="R22" s="5"/>
    </row>
    <row r="23" spans="1:18" ht="15" thickBot="1">
      <c r="A23" s="4"/>
      <c r="B23" s="131"/>
      <c r="C23" s="132"/>
      <c r="D23" s="132"/>
      <c r="E23" s="132"/>
      <c r="F23" s="132"/>
      <c r="G23" s="132"/>
      <c r="H23" s="132"/>
      <c r="I23" s="132"/>
      <c r="J23" s="132"/>
      <c r="K23" s="132"/>
      <c r="L23" s="133"/>
      <c r="N23" s="36" t="s">
        <v>38</v>
      </c>
      <c r="O23" s="43" t="s">
        <v>39</v>
      </c>
      <c r="P23" s="43" t="str">
        <f>_xlfn.CONCAT(N23,O23)</f>
        <v>AdityaJaiswal</v>
      </c>
      <c r="Q23" s="37" t="str">
        <f>_xlfn.CONCAT(N23," ",O23)</f>
        <v>Aditya Jaiswal</v>
      </c>
      <c r="R23" s="5"/>
    </row>
    <row r="24" spans="1:18">
      <c r="A24" s="4"/>
      <c r="B24" s="131"/>
      <c r="C24" s="132"/>
      <c r="D24" s="132"/>
      <c r="E24" s="132"/>
      <c r="F24" s="132"/>
      <c r="G24" s="132"/>
      <c r="H24" s="132"/>
      <c r="I24" s="132"/>
      <c r="J24" s="132"/>
      <c r="K24" s="132"/>
      <c r="L24" s="133"/>
      <c r="R24" s="5"/>
    </row>
    <row r="25" spans="1:18">
      <c r="A25" s="4"/>
      <c r="B25" s="131"/>
      <c r="C25" s="132"/>
      <c r="D25" s="132"/>
      <c r="E25" s="132"/>
      <c r="F25" s="132"/>
      <c r="G25" s="132"/>
      <c r="H25" s="132"/>
      <c r="I25" s="132"/>
      <c r="J25" s="132"/>
      <c r="K25" s="132"/>
      <c r="L25" s="133"/>
      <c r="R25" s="5"/>
    </row>
    <row r="26" spans="1:18">
      <c r="A26" s="4"/>
      <c r="B26" s="131"/>
      <c r="C26" s="132"/>
      <c r="D26" s="132"/>
      <c r="E26" s="132"/>
      <c r="F26" s="132"/>
      <c r="G26" s="132"/>
      <c r="H26" s="132"/>
      <c r="I26" s="132"/>
      <c r="J26" s="132"/>
      <c r="K26" s="132"/>
      <c r="L26" s="133"/>
      <c r="R26" s="5"/>
    </row>
    <row r="27" spans="1:18" ht="15" thickBot="1">
      <c r="A27" s="4"/>
      <c r="B27" s="134"/>
      <c r="C27" s="135"/>
      <c r="D27" s="135"/>
      <c r="E27" s="135"/>
      <c r="F27" s="135"/>
      <c r="G27" s="135"/>
      <c r="H27" s="135"/>
      <c r="I27" s="135"/>
      <c r="J27" s="135"/>
      <c r="K27" s="135"/>
      <c r="L27" s="136"/>
      <c r="R27" s="5"/>
    </row>
    <row r="28" spans="1:18" ht="15" thickBot="1">
      <c r="A28" s="10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11"/>
      <c r="N28" s="11"/>
      <c r="O28" s="11"/>
      <c r="P28" s="11"/>
      <c r="Q28" s="11"/>
      <c r="R28" s="12"/>
    </row>
    <row r="29" spans="1:18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8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2">
    <mergeCell ref="B3:L3"/>
    <mergeCell ref="B4:L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5863-96E6-46C0-8167-F3C70D1D542B}">
  <sheetPr>
    <tabColor theme="3"/>
  </sheetPr>
  <dimension ref="A1:M21"/>
  <sheetViews>
    <sheetView zoomScale="77" workbookViewId="0">
      <selection activeCell="S11" sqref="S11"/>
    </sheetView>
  </sheetViews>
  <sheetFormatPr defaultRowHeight="14.5"/>
  <cols>
    <col min="11" max="11" width="13.08984375" customWidth="1"/>
    <col min="12" max="12" width="9.26953125" customWidth="1"/>
  </cols>
  <sheetData>
    <row r="1" spans="1:13" ht="15" thickBot="1"/>
    <row r="2" spans="1:13" ht="15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</row>
    <row r="3" spans="1:13" ht="15" thickBot="1">
      <c r="A3" s="4"/>
      <c r="B3" s="126" t="s">
        <v>42</v>
      </c>
      <c r="C3" s="127"/>
      <c r="D3" s="127"/>
      <c r="E3" s="127"/>
      <c r="F3" s="127"/>
      <c r="G3" s="127"/>
      <c r="H3" s="127"/>
      <c r="I3" s="128"/>
      <c r="J3" s="44"/>
      <c r="K3" s="44"/>
      <c r="L3" s="49"/>
      <c r="M3" s="44"/>
    </row>
    <row r="4" spans="1:13" ht="14.5" customHeight="1">
      <c r="A4" s="4"/>
      <c r="B4" s="93" t="s">
        <v>43</v>
      </c>
      <c r="C4" s="94"/>
      <c r="D4" s="94"/>
      <c r="E4" s="94"/>
      <c r="F4" s="94"/>
      <c r="G4" s="94"/>
      <c r="H4" s="94"/>
      <c r="I4" s="95"/>
      <c r="L4" s="5"/>
    </row>
    <row r="5" spans="1:13">
      <c r="A5" s="4"/>
      <c r="B5" s="96"/>
      <c r="C5" s="97"/>
      <c r="D5" s="97"/>
      <c r="E5" s="97"/>
      <c r="F5" s="97"/>
      <c r="G5" s="97"/>
      <c r="H5" s="97"/>
      <c r="I5" s="98"/>
      <c r="L5" s="5"/>
    </row>
    <row r="6" spans="1:13">
      <c r="A6" s="4"/>
      <c r="B6" s="96"/>
      <c r="C6" s="97"/>
      <c r="D6" s="97"/>
      <c r="E6" s="97"/>
      <c r="F6" s="97"/>
      <c r="G6" s="97"/>
      <c r="H6" s="97"/>
      <c r="I6" s="98"/>
      <c r="L6" s="5"/>
    </row>
    <row r="7" spans="1:13" ht="15" thickBot="1">
      <c r="A7" s="4"/>
      <c r="B7" s="96"/>
      <c r="C7" s="97"/>
      <c r="D7" s="97"/>
      <c r="E7" s="97"/>
      <c r="F7" s="97"/>
      <c r="G7" s="97"/>
      <c r="H7" s="97"/>
      <c r="I7" s="98"/>
      <c r="L7" s="5"/>
    </row>
    <row r="8" spans="1:13">
      <c r="A8" s="4"/>
      <c r="B8" s="96"/>
      <c r="C8" s="97"/>
      <c r="D8" s="97"/>
      <c r="E8" s="97"/>
      <c r="F8" s="97"/>
      <c r="G8" s="97"/>
      <c r="H8" s="97"/>
      <c r="I8" s="98"/>
      <c r="K8" s="45" t="s">
        <v>44</v>
      </c>
      <c r="L8" s="5"/>
    </row>
    <row r="9" spans="1:13">
      <c r="A9" s="4"/>
      <c r="B9" s="96"/>
      <c r="C9" s="97"/>
      <c r="D9" s="97"/>
      <c r="E9" s="97"/>
      <c r="F9" s="97"/>
      <c r="G9" s="97"/>
      <c r="H9" s="97"/>
      <c r="I9" s="98"/>
      <c r="K9" s="46">
        <f ca="1">TODAY()</f>
        <v>46023</v>
      </c>
      <c r="L9" s="50"/>
    </row>
    <row r="10" spans="1:13">
      <c r="A10" s="4"/>
      <c r="B10" s="96"/>
      <c r="C10" s="97"/>
      <c r="D10" s="97"/>
      <c r="E10" s="97"/>
      <c r="F10" s="97"/>
      <c r="G10" s="97"/>
      <c r="H10" s="97"/>
      <c r="I10" s="98"/>
      <c r="K10" s="46">
        <f ca="1">NOW()</f>
        <v>46023.524239930557</v>
      </c>
      <c r="L10" s="5"/>
    </row>
    <row r="11" spans="1:13">
      <c r="A11" s="4"/>
      <c r="B11" s="96"/>
      <c r="C11" s="97"/>
      <c r="D11" s="97"/>
      <c r="E11" s="97"/>
      <c r="F11" s="97"/>
      <c r="G11" s="97"/>
      <c r="H11" s="97"/>
      <c r="I11" s="98"/>
      <c r="K11" s="46">
        <f>DATE(2026,1,1)</f>
        <v>46023</v>
      </c>
      <c r="L11" s="5"/>
    </row>
    <row r="12" spans="1:13">
      <c r="A12" s="4"/>
      <c r="B12" s="96"/>
      <c r="C12" s="97"/>
      <c r="D12" s="97"/>
      <c r="E12" s="97"/>
      <c r="F12" s="97"/>
      <c r="G12" s="97"/>
      <c r="H12" s="97"/>
      <c r="I12" s="98"/>
      <c r="K12" s="47">
        <f>YEAR(K11)</f>
        <v>2026</v>
      </c>
      <c r="L12" s="5"/>
    </row>
    <row r="13" spans="1:13">
      <c r="A13" s="4"/>
      <c r="B13" s="96"/>
      <c r="C13" s="97"/>
      <c r="D13" s="97"/>
      <c r="E13" s="97"/>
      <c r="F13" s="97"/>
      <c r="G13" s="97"/>
      <c r="H13" s="97"/>
      <c r="I13" s="98"/>
      <c r="K13" s="47">
        <f>MONTH(K11)</f>
        <v>1</v>
      </c>
      <c r="L13" s="5"/>
    </row>
    <row r="14" spans="1:13" ht="15" thickBot="1">
      <c r="A14" s="4"/>
      <c r="B14" s="96"/>
      <c r="C14" s="97"/>
      <c r="D14" s="97"/>
      <c r="E14" s="97"/>
      <c r="F14" s="97"/>
      <c r="G14" s="97"/>
      <c r="H14" s="97"/>
      <c r="I14" s="98"/>
      <c r="K14" s="48">
        <f>DAY(K11)</f>
        <v>1</v>
      </c>
      <c r="L14" s="5"/>
    </row>
    <row r="15" spans="1:13">
      <c r="A15" s="4"/>
      <c r="B15" s="96"/>
      <c r="C15" s="97"/>
      <c r="D15" s="97"/>
      <c r="E15" s="97"/>
      <c r="F15" s="97"/>
      <c r="G15" s="97"/>
      <c r="H15" s="97"/>
      <c r="I15" s="98"/>
      <c r="L15" s="5"/>
    </row>
    <row r="16" spans="1:13">
      <c r="A16" s="4"/>
      <c r="B16" s="96"/>
      <c r="C16" s="97"/>
      <c r="D16" s="97"/>
      <c r="E16" s="97"/>
      <c r="F16" s="97"/>
      <c r="G16" s="97"/>
      <c r="H16" s="97"/>
      <c r="I16" s="98"/>
      <c r="L16" s="5"/>
    </row>
    <row r="17" spans="1:12">
      <c r="A17" s="4"/>
      <c r="B17" s="96"/>
      <c r="C17" s="97"/>
      <c r="D17" s="97"/>
      <c r="E17" s="97"/>
      <c r="F17" s="97"/>
      <c r="G17" s="97"/>
      <c r="H17" s="97"/>
      <c r="I17" s="98"/>
      <c r="L17" s="5"/>
    </row>
    <row r="18" spans="1:12">
      <c r="A18" s="4"/>
      <c r="B18" s="96"/>
      <c r="C18" s="97"/>
      <c r="D18" s="97"/>
      <c r="E18" s="97"/>
      <c r="F18" s="97"/>
      <c r="G18" s="97"/>
      <c r="H18" s="97"/>
      <c r="I18" s="98"/>
      <c r="L18" s="5"/>
    </row>
    <row r="19" spans="1:12" ht="15" thickBot="1">
      <c r="A19" s="4"/>
      <c r="B19" s="99"/>
      <c r="C19" s="100"/>
      <c r="D19" s="100"/>
      <c r="E19" s="100"/>
      <c r="F19" s="100"/>
      <c r="G19" s="100"/>
      <c r="H19" s="100"/>
      <c r="I19" s="101"/>
      <c r="L19" s="5"/>
    </row>
    <row r="20" spans="1:12" ht="15" thickBot="1">
      <c r="A20" s="10"/>
      <c r="B20" s="51"/>
      <c r="C20" s="51"/>
      <c r="D20" s="51"/>
      <c r="E20" s="51"/>
      <c r="F20" s="51"/>
      <c r="G20" s="51"/>
      <c r="H20" s="51"/>
      <c r="I20" s="51"/>
      <c r="J20" s="11"/>
      <c r="K20" s="11"/>
      <c r="L20" s="12"/>
    </row>
    <row r="21" spans="1:12">
      <c r="B21" s="30"/>
      <c r="C21" s="30"/>
      <c r="D21" s="30"/>
      <c r="E21" s="30"/>
      <c r="F21" s="30"/>
      <c r="G21" s="30"/>
      <c r="H21" s="30"/>
      <c r="I21" s="30"/>
    </row>
  </sheetData>
  <mergeCells count="2">
    <mergeCell ref="B3:I3"/>
    <mergeCell ref="B4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6DB5-23DE-491A-A89C-045DAD731ABC}">
  <sheetPr>
    <tabColor theme="3"/>
  </sheetPr>
  <dimension ref="A1:R47"/>
  <sheetViews>
    <sheetView topLeftCell="A7" zoomScale="58" workbookViewId="0">
      <selection activeCell="M26" sqref="M26"/>
    </sheetView>
  </sheetViews>
  <sheetFormatPr defaultRowHeight="14.5"/>
  <cols>
    <col min="3" max="3" width="15.08984375" customWidth="1"/>
    <col min="4" max="4" width="12.7265625" customWidth="1"/>
    <col min="5" max="5" width="11.1796875" customWidth="1"/>
    <col min="7" max="7" width="13.453125" customWidth="1"/>
    <col min="10" max="10" width="15.7265625" customWidth="1"/>
    <col min="11" max="11" width="14.6328125" customWidth="1"/>
    <col min="12" max="12" width="11.54296875" customWidth="1"/>
    <col min="14" max="14" width="12.6328125" customWidth="1"/>
  </cols>
  <sheetData>
    <row r="1" spans="1:18" ht="15" thickBot="1"/>
    <row r="2" spans="1:18" ht="15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8"/>
    </row>
    <row r="3" spans="1:18">
      <c r="A3" s="108" t="s">
        <v>45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10"/>
      <c r="R3" s="44"/>
    </row>
    <row r="4" spans="1:18">
      <c r="A4" s="111" t="s">
        <v>46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  <c r="Q4" s="44"/>
      <c r="R4" s="44"/>
    </row>
    <row r="5" spans="1:18">
      <c r="A5" s="111" t="s">
        <v>47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3"/>
      <c r="Q5" s="44"/>
      <c r="R5" s="44"/>
    </row>
    <row r="6" spans="1:18" ht="15" thickBot="1">
      <c r="A6" s="114" t="s">
        <v>72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6"/>
      <c r="Q6" s="44"/>
      <c r="R6" s="44"/>
    </row>
    <row r="7" spans="1:18" ht="15" thickBot="1">
      <c r="A7" s="4"/>
      <c r="P7" s="5"/>
    </row>
    <row r="8" spans="1:18">
      <c r="A8" s="4"/>
      <c r="C8" s="52" t="s">
        <v>48</v>
      </c>
      <c r="D8" s="53" t="s">
        <v>49</v>
      </c>
      <c r="E8" s="53" t="s">
        <v>50</v>
      </c>
      <c r="F8" s="53" t="s">
        <v>51</v>
      </c>
      <c r="G8" s="54" t="s">
        <v>52</v>
      </c>
      <c r="P8" s="5"/>
    </row>
    <row r="9" spans="1:18">
      <c r="A9" s="4"/>
      <c r="C9" s="55" t="s">
        <v>53</v>
      </c>
      <c r="D9" s="7" t="s">
        <v>62</v>
      </c>
      <c r="E9" s="7" t="s">
        <v>69</v>
      </c>
      <c r="F9" s="7"/>
      <c r="G9" s="56">
        <v>81</v>
      </c>
      <c r="P9" s="5"/>
    </row>
    <row r="10" spans="1:18">
      <c r="A10" s="4"/>
      <c r="C10" s="55" t="s">
        <v>54</v>
      </c>
      <c r="D10" s="7" t="s">
        <v>63</v>
      </c>
      <c r="E10" s="7" t="s">
        <v>69</v>
      </c>
      <c r="F10" s="7"/>
      <c r="G10" s="56">
        <v>121</v>
      </c>
      <c r="P10" s="5"/>
    </row>
    <row r="11" spans="1:18">
      <c r="A11" s="4"/>
      <c r="C11" s="55" t="s">
        <v>55</v>
      </c>
      <c r="D11" s="7" t="s">
        <v>64</v>
      </c>
      <c r="E11" s="7" t="s">
        <v>70</v>
      </c>
      <c r="F11" s="7"/>
      <c r="G11" s="56">
        <v>239</v>
      </c>
      <c r="P11" s="5"/>
    </row>
    <row r="12" spans="1:18">
      <c r="A12" s="4"/>
      <c r="C12" s="55" t="s">
        <v>56</v>
      </c>
      <c r="D12" s="7" t="s">
        <v>62</v>
      </c>
      <c r="E12" s="7" t="s">
        <v>69</v>
      </c>
      <c r="F12" s="7"/>
      <c r="G12" s="56">
        <v>500</v>
      </c>
      <c r="P12" s="5"/>
    </row>
    <row r="13" spans="1:18">
      <c r="A13" s="4"/>
      <c r="C13" s="55" t="s">
        <v>57</v>
      </c>
      <c r="D13" s="7" t="s">
        <v>65</v>
      </c>
      <c r="E13" s="7" t="s">
        <v>71</v>
      </c>
      <c r="F13" s="7"/>
      <c r="G13" s="56">
        <v>423</v>
      </c>
      <c r="P13" s="5"/>
    </row>
    <row r="14" spans="1:18">
      <c r="A14" s="4"/>
      <c r="C14" s="55" t="s">
        <v>58</v>
      </c>
      <c r="D14" s="7" t="s">
        <v>66</v>
      </c>
      <c r="E14" s="7" t="s">
        <v>69</v>
      </c>
      <c r="F14" s="7"/>
      <c r="G14" s="56">
        <v>160</v>
      </c>
      <c r="P14" s="5"/>
    </row>
    <row r="15" spans="1:18">
      <c r="A15" s="4"/>
      <c r="C15" s="55" t="s">
        <v>59</v>
      </c>
      <c r="D15" s="7" t="s">
        <v>67</v>
      </c>
      <c r="E15" s="7" t="s">
        <v>69</v>
      </c>
      <c r="F15" s="7"/>
      <c r="G15" s="56">
        <v>348</v>
      </c>
      <c r="P15" s="5"/>
    </row>
    <row r="16" spans="1:18">
      <c r="A16" s="4"/>
      <c r="C16" s="55" t="s">
        <v>60</v>
      </c>
      <c r="D16" s="7" t="s">
        <v>67</v>
      </c>
      <c r="E16" s="7" t="s">
        <v>69</v>
      </c>
      <c r="F16" s="7"/>
      <c r="G16" s="56">
        <v>152</v>
      </c>
      <c r="P16" s="5"/>
    </row>
    <row r="17" spans="1:17" ht="15" thickBot="1">
      <c r="A17" s="4"/>
      <c r="C17" s="57" t="s">
        <v>61</v>
      </c>
      <c r="D17" s="58" t="s">
        <v>68</v>
      </c>
      <c r="E17" s="58" t="s">
        <v>71</v>
      </c>
      <c r="F17" s="58"/>
      <c r="G17" s="59">
        <v>369</v>
      </c>
      <c r="P17" s="5"/>
    </row>
    <row r="18" spans="1:17" ht="15" thickBot="1">
      <c r="A18" s="4"/>
      <c r="P18" s="5"/>
    </row>
    <row r="19" spans="1:17">
      <c r="A19" s="4"/>
      <c r="B19" s="93" t="s">
        <v>74</v>
      </c>
      <c r="C19" s="94"/>
      <c r="D19" s="94"/>
      <c r="E19" s="94"/>
      <c r="F19" s="94"/>
      <c r="G19" s="94"/>
      <c r="H19" s="94"/>
      <c r="I19" s="94"/>
      <c r="J19" s="62"/>
      <c r="K19" s="62"/>
      <c r="L19" s="62"/>
      <c r="M19" s="62"/>
      <c r="N19" s="62"/>
      <c r="O19" s="63"/>
      <c r="P19" s="5"/>
    </row>
    <row r="20" spans="1:17">
      <c r="A20" s="4"/>
      <c r="B20" s="96"/>
      <c r="C20" s="97"/>
      <c r="D20" s="97"/>
      <c r="E20" s="97"/>
      <c r="F20" s="97"/>
      <c r="G20" s="97"/>
      <c r="H20" s="97"/>
      <c r="I20" s="97"/>
      <c r="J20" s="64"/>
      <c r="K20" s="64"/>
      <c r="L20" s="64"/>
      <c r="M20" s="64"/>
      <c r="N20" s="64"/>
      <c r="O20" s="65"/>
      <c r="P20" s="68"/>
      <c r="Q20" s="2"/>
    </row>
    <row r="21" spans="1:17">
      <c r="A21" s="4"/>
      <c r="B21" s="96"/>
      <c r="C21" s="97"/>
      <c r="D21" s="97"/>
      <c r="E21" s="97"/>
      <c r="F21" s="97"/>
      <c r="G21" s="97"/>
      <c r="H21" s="97"/>
      <c r="I21" s="97"/>
      <c r="J21" s="14"/>
      <c r="K21" s="14"/>
      <c r="L21" s="14"/>
      <c r="M21" s="14"/>
      <c r="N21" s="14"/>
      <c r="O21" s="65"/>
      <c r="P21" s="68"/>
      <c r="Q21" s="2"/>
    </row>
    <row r="22" spans="1:17" ht="15" thickBot="1">
      <c r="A22" s="4"/>
      <c r="B22" s="96"/>
      <c r="C22" s="97"/>
      <c r="D22" s="97"/>
      <c r="E22" s="97"/>
      <c r="F22" s="97"/>
      <c r="G22" s="97"/>
      <c r="H22" s="97"/>
      <c r="I22" s="97"/>
      <c r="J22" s="14"/>
      <c r="K22" s="14"/>
      <c r="L22" s="14"/>
      <c r="M22" s="14"/>
      <c r="N22" s="14"/>
      <c r="O22" s="65"/>
      <c r="P22" s="68"/>
      <c r="Q22" s="2"/>
    </row>
    <row r="23" spans="1:17">
      <c r="A23" s="4"/>
      <c r="B23" s="96"/>
      <c r="C23" s="97"/>
      <c r="D23" s="97"/>
      <c r="E23" s="97"/>
      <c r="F23" s="97"/>
      <c r="G23" s="97"/>
      <c r="H23" s="97"/>
      <c r="I23" s="97"/>
      <c r="J23" s="34" t="s">
        <v>48</v>
      </c>
      <c r="K23" s="38" t="s">
        <v>49</v>
      </c>
      <c r="L23" s="38" t="s">
        <v>50</v>
      </c>
      <c r="M23" s="38" t="s">
        <v>51</v>
      </c>
      <c r="N23" s="60" t="s">
        <v>52</v>
      </c>
      <c r="O23" s="65"/>
      <c r="P23" s="68"/>
      <c r="Q23" s="2"/>
    </row>
    <row r="24" spans="1:17">
      <c r="A24" s="4"/>
      <c r="B24" s="96"/>
      <c r="C24" s="97"/>
      <c r="D24" s="97"/>
      <c r="E24" s="97"/>
      <c r="F24" s="97"/>
      <c r="G24" s="97"/>
      <c r="H24" s="97"/>
      <c r="I24" s="97"/>
      <c r="J24" s="39" t="s">
        <v>53</v>
      </c>
      <c r="K24" s="20" t="s">
        <v>62</v>
      </c>
      <c r="L24" s="20" t="s">
        <v>69</v>
      </c>
      <c r="M24" s="20"/>
      <c r="N24" s="40">
        <v>81</v>
      </c>
      <c r="O24" s="65"/>
      <c r="P24" s="68"/>
      <c r="Q24" s="2"/>
    </row>
    <row r="25" spans="1:17">
      <c r="A25" s="4"/>
      <c r="B25" s="96"/>
      <c r="C25" s="97"/>
      <c r="D25" s="97"/>
      <c r="E25" s="97"/>
      <c r="F25" s="97"/>
      <c r="G25" s="97"/>
      <c r="H25" s="97"/>
      <c r="I25" s="97"/>
      <c r="J25" s="39" t="s">
        <v>54</v>
      </c>
      <c r="K25" s="20" t="s">
        <v>63</v>
      </c>
      <c r="L25" s="20" t="s">
        <v>69</v>
      </c>
      <c r="M25" s="20"/>
      <c r="N25" s="40">
        <v>121</v>
      </c>
      <c r="O25" s="65"/>
      <c r="P25" s="68"/>
      <c r="Q25" s="2"/>
    </row>
    <row r="26" spans="1:17">
      <c r="A26" s="4"/>
      <c r="B26" s="96"/>
      <c r="C26" s="97"/>
      <c r="D26" s="97"/>
      <c r="E26" s="97"/>
      <c r="F26" s="97"/>
      <c r="G26" s="97"/>
      <c r="H26" s="97"/>
      <c r="I26" s="97"/>
      <c r="J26" s="39" t="s">
        <v>55</v>
      </c>
      <c r="K26" s="20" t="s">
        <v>64</v>
      </c>
      <c r="L26" s="20" t="s">
        <v>70</v>
      </c>
      <c r="M26" s="20"/>
      <c r="N26" s="40">
        <v>239</v>
      </c>
      <c r="O26" s="65"/>
      <c r="P26" s="68"/>
      <c r="Q26" s="2"/>
    </row>
    <row r="27" spans="1:17">
      <c r="A27" s="4"/>
      <c r="B27" s="96"/>
      <c r="C27" s="97"/>
      <c r="D27" s="97"/>
      <c r="E27" s="97"/>
      <c r="F27" s="97"/>
      <c r="G27" s="97"/>
      <c r="H27" s="97"/>
      <c r="I27" s="97"/>
      <c r="J27" s="39" t="s">
        <v>56</v>
      </c>
      <c r="K27" s="20" t="s">
        <v>62</v>
      </c>
      <c r="L27" s="20" t="s">
        <v>69</v>
      </c>
      <c r="M27" s="20"/>
      <c r="N27" s="40">
        <v>500</v>
      </c>
      <c r="O27" s="65"/>
      <c r="P27" s="68"/>
      <c r="Q27" s="2"/>
    </row>
    <row r="28" spans="1:17">
      <c r="A28" s="4"/>
      <c r="B28" s="96"/>
      <c r="C28" s="97"/>
      <c r="D28" s="97"/>
      <c r="E28" s="97"/>
      <c r="F28" s="97"/>
      <c r="G28" s="97"/>
      <c r="H28" s="97"/>
      <c r="I28" s="97"/>
      <c r="J28" s="39" t="s">
        <v>57</v>
      </c>
      <c r="K28" s="20" t="s">
        <v>65</v>
      </c>
      <c r="L28" s="20" t="s">
        <v>71</v>
      </c>
      <c r="M28" s="20"/>
      <c r="N28" s="40">
        <v>423</v>
      </c>
      <c r="O28" s="65"/>
      <c r="P28" s="68"/>
      <c r="Q28" s="2"/>
    </row>
    <row r="29" spans="1:17">
      <c r="A29" s="4"/>
      <c r="B29" s="96"/>
      <c r="C29" s="97"/>
      <c r="D29" s="97"/>
      <c r="E29" s="97"/>
      <c r="F29" s="97"/>
      <c r="G29" s="97"/>
      <c r="H29" s="97"/>
      <c r="I29" s="97"/>
      <c r="J29" s="39" t="s">
        <v>58</v>
      </c>
      <c r="K29" s="20" t="s">
        <v>66</v>
      </c>
      <c r="L29" s="20" t="s">
        <v>69</v>
      </c>
      <c r="M29" s="20"/>
      <c r="N29" s="40">
        <v>160</v>
      </c>
      <c r="O29" s="65"/>
      <c r="P29" s="68"/>
      <c r="Q29" s="2"/>
    </row>
    <row r="30" spans="1:17">
      <c r="A30" s="4"/>
      <c r="B30" s="96"/>
      <c r="C30" s="97"/>
      <c r="D30" s="97"/>
      <c r="E30" s="97"/>
      <c r="F30" s="97"/>
      <c r="G30" s="97"/>
      <c r="H30" s="97"/>
      <c r="I30" s="97"/>
      <c r="J30" s="39" t="s">
        <v>59</v>
      </c>
      <c r="K30" s="20" t="s">
        <v>67</v>
      </c>
      <c r="L30" s="20" t="s">
        <v>69</v>
      </c>
      <c r="M30" s="20"/>
      <c r="N30" s="40">
        <v>348</v>
      </c>
      <c r="O30" s="65"/>
      <c r="P30" s="68"/>
      <c r="Q30" s="2"/>
    </row>
    <row r="31" spans="1:17">
      <c r="A31" s="4"/>
      <c r="B31" s="96"/>
      <c r="C31" s="97"/>
      <c r="D31" s="97"/>
      <c r="E31" s="97"/>
      <c r="F31" s="97"/>
      <c r="G31" s="97"/>
      <c r="H31" s="97"/>
      <c r="I31" s="97"/>
      <c r="J31" s="39" t="s">
        <v>60</v>
      </c>
      <c r="K31" s="20" t="s">
        <v>67</v>
      </c>
      <c r="L31" s="20" t="s">
        <v>69</v>
      </c>
      <c r="M31" s="20"/>
      <c r="N31" s="40">
        <v>152</v>
      </c>
      <c r="O31" s="65"/>
      <c r="P31" s="68"/>
      <c r="Q31" s="2"/>
    </row>
    <row r="32" spans="1:17" ht="15" thickBot="1">
      <c r="A32" s="4"/>
      <c r="B32" s="96"/>
      <c r="C32" s="97"/>
      <c r="D32" s="97"/>
      <c r="E32" s="97"/>
      <c r="F32" s="97"/>
      <c r="G32" s="97"/>
      <c r="H32" s="97"/>
      <c r="I32" s="97"/>
      <c r="J32" s="36" t="s">
        <v>61</v>
      </c>
      <c r="K32" s="43" t="s">
        <v>68</v>
      </c>
      <c r="L32" s="43" t="s">
        <v>71</v>
      </c>
      <c r="M32" s="43"/>
      <c r="N32" s="37">
        <v>369</v>
      </c>
      <c r="O32" s="65"/>
      <c r="P32" s="68"/>
      <c r="Q32" s="2"/>
    </row>
    <row r="33" spans="1:17">
      <c r="A33" s="4"/>
      <c r="B33" s="96"/>
      <c r="C33" s="97"/>
      <c r="D33" s="97"/>
      <c r="E33" s="97"/>
      <c r="F33" s="97"/>
      <c r="G33" s="97"/>
      <c r="H33" s="97"/>
      <c r="I33" s="97"/>
      <c r="J33" s="64"/>
      <c r="K33" s="64"/>
      <c r="L33" s="64"/>
      <c r="M33" s="64"/>
      <c r="N33" s="64"/>
      <c r="O33" s="65"/>
      <c r="P33" s="68"/>
      <c r="Q33" s="2"/>
    </row>
    <row r="34" spans="1:17">
      <c r="A34" s="4"/>
      <c r="B34" s="96"/>
      <c r="C34" s="97"/>
      <c r="D34" s="97"/>
      <c r="E34" s="97"/>
      <c r="F34" s="97"/>
      <c r="G34" s="97"/>
      <c r="H34" s="97"/>
      <c r="I34" s="97"/>
      <c r="J34" s="64"/>
      <c r="K34" s="64"/>
      <c r="L34" s="64"/>
      <c r="M34" s="64"/>
      <c r="N34" s="64"/>
      <c r="O34" s="65"/>
      <c r="P34" s="68"/>
      <c r="Q34" s="2"/>
    </row>
    <row r="35" spans="1:17">
      <c r="A35" s="4"/>
      <c r="B35" s="96"/>
      <c r="C35" s="97"/>
      <c r="D35" s="97"/>
      <c r="E35" s="97"/>
      <c r="F35" s="97"/>
      <c r="G35" s="97"/>
      <c r="H35" s="97"/>
      <c r="I35" s="97"/>
      <c r="J35" s="64"/>
      <c r="K35" s="64"/>
      <c r="L35" s="64"/>
      <c r="M35" s="64"/>
      <c r="N35" s="64"/>
      <c r="O35" s="65"/>
      <c r="P35" s="68"/>
      <c r="Q35" s="2"/>
    </row>
    <row r="36" spans="1:17" ht="15" thickBot="1">
      <c r="A36" s="4"/>
      <c r="B36" s="99"/>
      <c r="C36" s="100"/>
      <c r="D36" s="100"/>
      <c r="E36" s="100"/>
      <c r="F36" s="100"/>
      <c r="G36" s="100"/>
      <c r="H36" s="100"/>
      <c r="I36" s="100"/>
      <c r="J36" s="66"/>
      <c r="K36" s="66"/>
      <c r="L36" s="66"/>
      <c r="M36" s="66"/>
      <c r="N36" s="66"/>
      <c r="O36" s="67"/>
      <c r="P36" s="68"/>
      <c r="Q36" s="2"/>
    </row>
    <row r="37" spans="1:17" ht="15" thickBot="1">
      <c r="A37" s="10"/>
      <c r="B37" s="69"/>
      <c r="C37" s="69"/>
      <c r="D37" s="69"/>
      <c r="E37" s="69"/>
      <c r="F37" s="69"/>
      <c r="G37" s="69"/>
      <c r="H37" s="69"/>
      <c r="I37" s="69"/>
      <c r="J37" s="33"/>
      <c r="K37" s="33"/>
      <c r="L37" s="33"/>
      <c r="M37" s="33"/>
      <c r="N37" s="33"/>
      <c r="O37" s="33"/>
      <c r="P37" s="70"/>
      <c r="Q37" s="2"/>
    </row>
    <row r="38" spans="1:17">
      <c r="B38" s="61"/>
      <c r="C38" s="61"/>
      <c r="D38" s="61"/>
      <c r="E38" s="61"/>
      <c r="F38" s="61"/>
      <c r="G38" s="61"/>
      <c r="H38" s="61"/>
      <c r="I38" s="61"/>
      <c r="J38" s="2"/>
      <c r="K38" s="2"/>
      <c r="L38" s="2"/>
      <c r="M38" s="2"/>
      <c r="N38" s="2"/>
      <c r="O38" s="2"/>
      <c r="P38" s="2"/>
      <c r="Q38" s="2"/>
    </row>
    <row r="39" spans="1:17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mergeCells count="5">
    <mergeCell ref="A4:P4"/>
    <mergeCell ref="A3:P3"/>
    <mergeCell ref="B19:I36"/>
    <mergeCell ref="A6:P6"/>
    <mergeCell ref="A5:P5"/>
  </mergeCells>
  <dataValidations count="1">
    <dataValidation type="whole" allowBlank="1" showInputMessage="1" showErrorMessage="1" errorTitle="Invalid input!" error="The quantity must be a whole number between 1 and 10." prompt="Please enter a whole number betweenn 1 and 10." sqref="M24:M32" xr:uid="{19F826CC-8CAF-4FE2-B2FE-D59C69987FB4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80D1-5360-48F8-B294-829A42DAB575}">
  <sheetPr>
    <tabColor theme="3"/>
  </sheetPr>
  <dimension ref="A1:P29"/>
  <sheetViews>
    <sheetView zoomScale="42" zoomScaleNormal="70" workbookViewId="0">
      <selection activeCell="P28" sqref="P28"/>
    </sheetView>
  </sheetViews>
  <sheetFormatPr defaultRowHeight="14.5"/>
  <cols>
    <col min="3" max="3" width="17.1796875" customWidth="1"/>
  </cols>
  <sheetData>
    <row r="1" spans="1:16" ht="15" thickBot="1"/>
    <row r="2" spans="1:16" ht="15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6" ht="14.5" customHeight="1">
      <c r="A3" s="4"/>
      <c r="B3" s="143" t="s">
        <v>78</v>
      </c>
      <c r="C3" s="144"/>
      <c r="D3" s="144"/>
      <c r="E3" s="144"/>
      <c r="F3" s="144"/>
      <c r="G3" s="144"/>
      <c r="H3" s="144"/>
      <c r="I3" s="144"/>
      <c r="J3" s="145"/>
      <c r="K3" s="71"/>
      <c r="L3" s="3"/>
      <c r="M3" s="3"/>
      <c r="N3" s="3"/>
    </row>
    <row r="4" spans="1:16">
      <c r="A4" s="4"/>
      <c r="B4" s="146"/>
      <c r="C4" s="147"/>
      <c r="D4" s="147"/>
      <c r="E4" s="147"/>
      <c r="F4" s="147"/>
      <c r="G4" s="147"/>
      <c r="H4" s="147"/>
      <c r="I4" s="147"/>
      <c r="J4" s="148"/>
      <c r="K4" s="71"/>
      <c r="L4" s="3"/>
      <c r="M4" s="3"/>
      <c r="N4" s="3"/>
    </row>
    <row r="5" spans="1:16">
      <c r="A5" s="4"/>
      <c r="B5" s="146"/>
      <c r="C5" s="147"/>
      <c r="D5" s="147"/>
      <c r="E5" s="147"/>
      <c r="F5" s="147"/>
      <c r="G5" s="147"/>
      <c r="H5" s="147"/>
      <c r="I5" s="147"/>
      <c r="J5" s="148"/>
      <c r="K5" s="71"/>
      <c r="L5" s="3"/>
      <c r="M5" s="3"/>
      <c r="N5" s="3"/>
    </row>
    <row r="6" spans="1:16">
      <c r="A6" s="4"/>
      <c r="B6" s="146"/>
      <c r="C6" s="147"/>
      <c r="D6" s="147"/>
      <c r="E6" s="147"/>
      <c r="F6" s="147"/>
      <c r="G6" s="147"/>
      <c r="H6" s="147"/>
      <c r="I6" s="147"/>
      <c r="J6" s="148"/>
      <c r="K6" s="71"/>
      <c r="L6" s="3"/>
      <c r="M6" s="3"/>
      <c r="N6" s="3"/>
    </row>
    <row r="7" spans="1:16">
      <c r="A7" s="4"/>
      <c r="B7" s="146"/>
      <c r="C7" s="147"/>
      <c r="D7" s="147"/>
      <c r="E7" s="147"/>
      <c r="F7" s="147"/>
      <c r="G7" s="147"/>
      <c r="H7" s="147"/>
      <c r="I7" s="147"/>
      <c r="J7" s="148"/>
      <c r="K7" s="71"/>
      <c r="L7" s="3"/>
      <c r="M7" s="3"/>
      <c r="N7" s="3"/>
      <c r="P7" s="2"/>
    </row>
    <row r="8" spans="1:16" ht="15" thickBot="1">
      <c r="A8" s="4"/>
      <c r="B8" s="149"/>
      <c r="C8" s="150"/>
      <c r="D8" s="150"/>
      <c r="E8" s="150"/>
      <c r="F8" s="150"/>
      <c r="G8" s="150"/>
      <c r="H8" s="150"/>
      <c r="I8" s="150"/>
      <c r="J8" s="151"/>
      <c r="K8" s="71"/>
      <c r="L8" s="3"/>
      <c r="M8" s="3"/>
      <c r="N8" s="3"/>
    </row>
    <row r="9" spans="1:16" ht="15" thickBot="1">
      <c r="A9" s="4"/>
      <c r="B9" s="75" t="s">
        <v>73</v>
      </c>
      <c r="K9" s="5"/>
    </row>
    <row r="10" spans="1:16" ht="15" thickBot="1">
      <c r="A10" s="4"/>
      <c r="B10" s="137" t="s">
        <v>82</v>
      </c>
      <c r="C10" s="138"/>
      <c r="D10" s="138"/>
      <c r="E10" s="138"/>
      <c r="F10" s="138"/>
      <c r="G10" s="138"/>
      <c r="H10" s="138"/>
      <c r="I10" s="138"/>
      <c r="J10" s="139"/>
      <c r="K10" s="76"/>
      <c r="L10" s="29"/>
      <c r="M10" s="29"/>
      <c r="N10" s="29"/>
    </row>
    <row r="11" spans="1:16" ht="15" thickBot="1">
      <c r="A11" s="4"/>
      <c r="K11" s="5"/>
    </row>
    <row r="12" spans="1:16" ht="15" thickBot="1">
      <c r="A12" s="4"/>
      <c r="C12" s="72" t="s">
        <v>75</v>
      </c>
      <c r="E12" s="73" t="str">
        <f>LEFT(C12,5)</f>
        <v>Excel</v>
      </c>
      <c r="K12" s="5"/>
    </row>
    <row r="13" spans="1:16" ht="15" thickBot="1">
      <c r="A13" s="4"/>
      <c r="K13" s="5"/>
    </row>
    <row r="14" spans="1:16" ht="15" thickBot="1">
      <c r="A14" s="4"/>
      <c r="B14" s="137" t="s">
        <v>83</v>
      </c>
      <c r="C14" s="138"/>
      <c r="D14" s="138"/>
      <c r="E14" s="138"/>
      <c r="F14" s="138"/>
      <c r="G14" s="138"/>
      <c r="H14" s="138"/>
      <c r="I14" s="138"/>
      <c r="J14" s="139"/>
      <c r="K14" s="76"/>
      <c r="L14" s="29"/>
      <c r="M14" s="29"/>
      <c r="N14" s="29"/>
    </row>
    <row r="15" spans="1:16" ht="15" thickBot="1">
      <c r="A15" s="4"/>
      <c r="K15" s="5"/>
    </row>
    <row r="16" spans="1:16" ht="15" thickBot="1">
      <c r="A16" s="4"/>
      <c r="C16" s="72" t="s">
        <v>76</v>
      </c>
      <c r="E16" s="73" t="str">
        <f>RIGHT(C16,4)</f>
        <v>xlsx</v>
      </c>
      <c r="K16" s="5"/>
    </row>
    <row r="17" spans="1:13" ht="15" thickBot="1">
      <c r="A17" s="4"/>
      <c r="K17" s="5"/>
    </row>
    <row r="18" spans="1:13" ht="15" thickBot="1">
      <c r="A18" s="4"/>
      <c r="B18" s="137" t="s">
        <v>84</v>
      </c>
      <c r="C18" s="138"/>
      <c r="D18" s="138"/>
      <c r="E18" s="138"/>
      <c r="F18" s="138"/>
      <c r="G18" s="138"/>
      <c r="H18" s="138"/>
      <c r="I18" s="138"/>
      <c r="J18" s="139"/>
      <c r="K18" s="5"/>
    </row>
    <row r="19" spans="1:13" ht="15" thickBot="1">
      <c r="A19" s="4"/>
      <c r="K19" s="5"/>
    </row>
    <row r="20" spans="1:13" ht="15" thickBot="1">
      <c r="A20" s="4"/>
      <c r="C20" s="72" t="s">
        <v>79</v>
      </c>
      <c r="E20" s="73" t="str">
        <f>MID(C20,6,4)</f>
        <v>Tips</v>
      </c>
      <c r="K20" s="5"/>
      <c r="M20" t="s">
        <v>77</v>
      </c>
    </row>
    <row r="21" spans="1:13" ht="15" thickBot="1">
      <c r="A21" s="4"/>
      <c r="K21" s="5"/>
    </row>
    <row r="22" spans="1:13" ht="15" thickBot="1">
      <c r="A22" s="4"/>
      <c r="B22" s="140" t="s">
        <v>85</v>
      </c>
      <c r="C22" s="141"/>
      <c r="D22" s="141"/>
      <c r="E22" s="141"/>
      <c r="F22" s="141"/>
      <c r="G22" s="141"/>
      <c r="H22" s="141"/>
      <c r="I22" s="141"/>
      <c r="J22" s="142"/>
      <c r="K22" s="5"/>
    </row>
    <row r="23" spans="1:13" ht="15" thickBot="1">
      <c r="A23" s="4"/>
      <c r="K23" s="5"/>
    </row>
    <row r="24" spans="1:13" ht="15" thickBot="1">
      <c r="A24" s="4"/>
      <c r="C24" s="72" t="s">
        <v>80</v>
      </c>
      <c r="E24" s="74">
        <f>LEN(C24)</f>
        <v>12</v>
      </c>
      <c r="K24" s="5"/>
    </row>
    <row r="25" spans="1:13" ht="15" thickBot="1">
      <c r="A25" s="4"/>
      <c r="K25" s="5"/>
    </row>
    <row r="26" spans="1:13" ht="15" thickBot="1">
      <c r="A26" s="4"/>
      <c r="B26" s="137" t="s">
        <v>86</v>
      </c>
      <c r="C26" s="138"/>
      <c r="D26" s="138"/>
      <c r="E26" s="138"/>
      <c r="F26" s="138"/>
      <c r="G26" s="138"/>
      <c r="H26" s="138"/>
      <c r="I26" s="138"/>
      <c r="J26" s="139"/>
      <c r="K26" s="5"/>
    </row>
    <row r="27" spans="1:13" ht="15" thickBot="1">
      <c r="A27" s="4"/>
      <c r="K27" s="5"/>
    </row>
    <row r="28" spans="1:13" ht="15" thickBot="1">
      <c r="A28" s="4"/>
      <c r="C28" s="72" t="s">
        <v>81</v>
      </c>
      <c r="E28" s="73" t="str">
        <f>MID(C28,6,5)</f>
        <v>67890</v>
      </c>
      <c r="K28" s="5"/>
    </row>
    <row r="29" spans="1:13" ht="15" thickBo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2"/>
    </row>
  </sheetData>
  <mergeCells count="6">
    <mergeCell ref="B18:J18"/>
    <mergeCell ref="B22:J22"/>
    <mergeCell ref="B26:J26"/>
    <mergeCell ref="B10:J10"/>
    <mergeCell ref="B3:J8"/>
    <mergeCell ref="B14:J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5DAB-77C0-4927-8A17-730F0A13E8F3}">
  <sheetPr>
    <tabColor theme="3"/>
  </sheetPr>
  <dimension ref="A1:M38"/>
  <sheetViews>
    <sheetView topLeftCell="A6" zoomScale="51" workbookViewId="0">
      <selection activeCell="P11" sqref="P11"/>
    </sheetView>
  </sheetViews>
  <sheetFormatPr defaultRowHeight="14.5"/>
  <cols>
    <col min="4" max="4" width="13.90625" customWidth="1"/>
    <col min="5" max="5" width="10.1796875" customWidth="1"/>
    <col min="6" max="6" width="30.54296875" customWidth="1"/>
    <col min="7" max="7" width="17.81640625" customWidth="1"/>
  </cols>
  <sheetData>
    <row r="1" spans="1:13" ht="15" thickBot="1">
      <c r="A1" s="26"/>
    </row>
    <row r="2" spans="1:13" ht="15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1:13">
      <c r="A3" s="4"/>
      <c r="B3" s="152" t="s">
        <v>87</v>
      </c>
      <c r="C3" s="109"/>
      <c r="D3" s="109"/>
      <c r="E3" s="109"/>
      <c r="F3" s="109"/>
      <c r="G3" s="109"/>
      <c r="H3" s="109"/>
      <c r="I3" s="109"/>
      <c r="J3" s="109"/>
      <c r="K3" s="109"/>
      <c r="L3" s="110"/>
      <c r="M3" s="5"/>
    </row>
    <row r="4" spans="1:13">
      <c r="A4" s="4"/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3"/>
      <c r="M4" s="5"/>
    </row>
    <row r="5" spans="1:13">
      <c r="A5" s="4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3"/>
      <c r="M5" s="5"/>
    </row>
    <row r="6" spans="1:13">
      <c r="A6" s="4"/>
      <c r="B6" s="111"/>
      <c r="C6" s="112"/>
      <c r="D6" s="112"/>
      <c r="E6" s="112"/>
      <c r="F6" s="112"/>
      <c r="G6" s="112"/>
      <c r="H6" s="112"/>
      <c r="I6" s="112"/>
      <c r="J6" s="112"/>
      <c r="K6" s="112"/>
      <c r="L6" s="113"/>
      <c r="M6" s="5"/>
    </row>
    <row r="7" spans="1:13">
      <c r="A7" s="4"/>
      <c r="B7" s="111"/>
      <c r="C7" s="112"/>
      <c r="D7" s="112"/>
      <c r="E7" s="112"/>
      <c r="F7" s="112"/>
      <c r="G7" s="112"/>
      <c r="H7" s="112"/>
      <c r="I7" s="112"/>
      <c r="J7" s="112"/>
      <c r="K7" s="112"/>
      <c r="L7" s="113"/>
      <c r="M7" s="5"/>
    </row>
    <row r="8" spans="1:13" ht="15" thickBot="1">
      <c r="A8" s="4"/>
      <c r="B8" s="114"/>
      <c r="C8" s="115"/>
      <c r="D8" s="115"/>
      <c r="E8" s="115"/>
      <c r="F8" s="115"/>
      <c r="G8" s="115"/>
      <c r="H8" s="115"/>
      <c r="I8" s="115"/>
      <c r="J8" s="115"/>
      <c r="K8" s="115"/>
      <c r="L8" s="116"/>
      <c r="M8" s="5"/>
    </row>
    <row r="9" spans="1:13" ht="15" thickBot="1">
      <c r="A9" s="4"/>
      <c r="B9" s="86" t="s">
        <v>73</v>
      </c>
      <c r="L9" s="5"/>
      <c r="M9" s="5"/>
    </row>
    <row r="10" spans="1:13" ht="15" thickBot="1">
      <c r="A10" s="4"/>
      <c r="B10" s="137" t="s">
        <v>88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9"/>
      <c r="M10" s="5"/>
    </row>
    <row r="11" spans="1:13" ht="15" thickBot="1">
      <c r="A11" s="4"/>
      <c r="B11" s="4"/>
      <c r="L11" s="5"/>
      <c r="M11" s="5"/>
    </row>
    <row r="12" spans="1:13" ht="15" thickBot="1">
      <c r="A12" s="4"/>
      <c r="B12" s="4"/>
      <c r="C12" s="77" t="s">
        <v>89</v>
      </c>
      <c r="D12" s="78" t="s">
        <v>90</v>
      </c>
      <c r="F12" s="79" t="str">
        <f>_xlfn.CONCAT(C12," ",D12)</f>
        <v>Hello World</v>
      </c>
      <c r="L12" s="5"/>
      <c r="M12" s="5"/>
    </row>
    <row r="13" spans="1:13" ht="15" thickBot="1">
      <c r="A13" s="4"/>
      <c r="B13" s="4"/>
      <c r="L13" s="5"/>
      <c r="M13" s="5"/>
    </row>
    <row r="14" spans="1:13" ht="15" thickBot="1">
      <c r="A14" s="4"/>
      <c r="B14" s="137" t="s">
        <v>94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9"/>
      <c r="M14" s="5"/>
    </row>
    <row r="15" spans="1:13" ht="15" thickBot="1">
      <c r="A15" s="4"/>
      <c r="B15" s="4"/>
      <c r="L15" s="5"/>
      <c r="M15" s="5"/>
    </row>
    <row r="16" spans="1:13" ht="15" thickBot="1">
      <c r="A16" s="4"/>
      <c r="B16" s="4"/>
      <c r="C16" s="31" t="s">
        <v>91</v>
      </c>
      <c r="D16" s="31" t="s">
        <v>92</v>
      </c>
      <c r="E16" s="31" t="s">
        <v>93</v>
      </c>
      <c r="G16" s="73" t="str">
        <f>_xlfn.TEXTJOIN(",",TRUE,C16:E16)</f>
        <v>Apple,Banana,Cherry</v>
      </c>
      <c r="L16" s="5"/>
      <c r="M16" s="5"/>
    </row>
    <row r="17" spans="1:13" ht="15" thickBot="1">
      <c r="A17" s="4"/>
      <c r="B17" s="4"/>
      <c r="L17" s="5"/>
      <c r="M17" s="5"/>
    </row>
    <row r="18" spans="1:13" ht="15" thickBot="1">
      <c r="A18" s="4"/>
      <c r="B18" s="153" t="s">
        <v>95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5"/>
      <c r="M18" s="5"/>
    </row>
    <row r="19" spans="1:13" ht="15" thickBot="1">
      <c r="A19" s="4"/>
      <c r="B19" s="4"/>
      <c r="L19" s="5"/>
      <c r="M19" s="5"/>
    </row>
    <row r="20" spans="1:13" ht="15" thickBot="1">
      <c r="A20" s="4"/>
      <c r="B20" s="4"/>
      <c r="C20" s="77">
        <v>2025</v>
      </c>
      <c r="D20" s="78" t="s">
        <v>96</v>
      </c>
      <c r="F20" s="79" t="str">
        <f>C20&amp;":"&amp;D20</f>
        <v>2025:Excel Functions</v>
      </c>
      <c r="L20" s="5"/>
      <c r="M20" s="5"/>
    </row>
    <row r="21" spans="1:13" ht="15" thickBot="1">
      <c r="A21" s="4"/>
      <c r="B21" s="4"/>
      <c r="L21" s="5"/>
      <c r="M21" s="5"/>
    </row>
    <row r="22" spans="1:13" ht="15" thickBot="1">
      <c r="A22" s="4"/>
      <c r="B22" s="156" t="s">
        <v>97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9"/>
      <c r="M22" s="5"/>
    </row>
    <row r="23" spans="1:13" ht="15" thickBot="1">
      <c r="A23" s="4"/>
      <c r="B23" s="4"/>
      <c r="L23" s="5"/>
      <c r="M23" s="5"/>
    </row>
    <row r="24" spans="1:13">
      <c r="A24" s="4"/>
      <c r="B24" s="4"/>
      <c r="D24" s="80" t="s">
        <v>91</v>
      </c>
      <c r="L24" s="5"/>
      <c r="M24" s="5"/>
    </row>
    <row r="25" spans="1:13" ht="15" thickBot="1">
      <c r="A25" s="4"/>
      <c r="B25" s="4"/>
      <c r="D25" s="81" t="s">
        <v>92</v>
      </c>
      <c r="L25" s="5"/>
      <c r="M25" s="5"/>
    </row>
    <row r="26" spans="1:13" ht="15" thickBot="1">
      <c r="A26" s="4"/>
      <c r="B26" s="4"/>
      <c r="D26" s="81" t="s">
        <v>93</v>
      </c>
      <c r="F26" s="73" t="str">
        <f>_xlfn.TEXTJOIN(",",TRUE,D24:D28)</f>
        <v>Apple,Banana,Cherry,Papaya,Orange</v>
      </c>
      <c r="L26" s="5"/>
      <c r="M26" s="5"/>
    </row>
    <row r="27" spans="1:13">
      <c r="A27" s="4"/>
      <c r="B27" s="4"/>
      <c r="D27" s="81" t="s">
        <v>98</v>
      </c>
      <c r="L27" s="5"/>
      <c r="M27" s="5"/>
    </row>
    <row r="28" spans="1:13" ht="15" thickBot="1">
      <c r="A28" s="4"/>
      <c r="B28" s="4"/>
      <c r="D28" s="82" t="s">
        <v>99</v>
      </c>
      <c r="L28" s="5"/>
      <c r="M28" s="5"/>
    </row>
    <row r="29" spans="1:13" ht="15" thickBot="1">
      <c r="A29" s="4"/>
      <c r="B29" s="4"/>
      <c r="L29" s="5"/>
      <c r="M29" s="5"/>
    </row>
    <row r="30" spans="1:13" ht="15" thickBot="1">
      <c r="A30" s="4"/>
      <c r="B30" s="137" t="s">
        <v>100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9"/>
      <c r="M30" s="5"/>
    </row>
    <row r="31" spans="1:13" ht="15" thickBot="1">
      <c r="A31" s="4"/>
      <c r="B31" s="4"/>
      <c r="L31" s="5"/>
      <c r="M31" s="5"/>
    </row>
    <row r="32" spans="1:13">
      <c r="A32" s="4"/>
      <c r="B32" s="4"/>
      <c r="D32" s="34" t="s">
        <v>34</v>
      </c>
      <c r="E32" s="38" t="s">
        <v>101</v>
      </c>
      <c r="F32" s="35" t="s">
        <v>102</v>
      </c>
      <c r="L32" s="5"/>
      <c r="M32" s="5"/>
    </row>
    <row r="33" spans="1:13">
      <c r="A33" s="4"/>
      <c r="B33" s="4"/>
      <c r="D33" s="41" t="s">
        <v>26</v>
      </c>
      <c r="E33" s="32" t="s">
        <v>37</v>
      </c>
      <c r="F33" s="83" t="str">
        <f>_xlfn.CONCAT(D33," ",E33)</f>
        <v>Sakshi Rajput</v>
      </c>
      <c r="L33" s="5"/>
      <c r="M33" s="5"/>
    </row>
    <row r="34" spans="1:13">
      <c r="A34" s="4"/>
      <c r="B34" s="4"/>
      <c r="D34" s="41" t="s">
        <v>38</v>
      </c>
      <c r="E34" s="32" t="s">
        <v>39</v>
      </c>
      <c r="F34" s="83" t="str">
        <f t="shared" ref="F34:F36" si="0">_xlfn.CONCAT(D34," ",E34)</f>
        <v>Aditya Jaiswal</v>
      </c>
      <c r="L34" s="5"/>
      <c r="M34" s="5"/>
    </row>
    <row r="35" spans="1:13">
      <c r="A35" s="4"/>
      <c r="B35" s="4"/>
      <c r="D35" s="41" t="s">
        <v>103</v>
      </c>
      <c r="E35" s="32" t="s">
        <v>39</v>
      </c>
      <c r="F35" s="83" t="str">
        <f t="shared" si="0"/>
        <v>Ishita Jaiswal</v>
      </c>
      <c r="L35" s="5"/>
      <c r="M35" s="5"/>
    </row>
    <row r="36" spans="1:13" ht="15" thickBot="1">
      <c r="A36" s="4"/>
      <c r="B36" s="4"/>
      <c r="D36" s="42" t="s">
        <v>104</v>
      </c>
      <c r="E36" s="84" t="s">
        <v>105</v>
      </c>
      <c r="F36" s="85" t="str">
        <f t="shared" si="0"/>
        <v>Shrey Mishra</v>
      </c>
      <c r="L36" s="5"/>
      <c r="M36" s="5"/>
    </row>
    <row r="37" spans="1:13" ht="15" thickBot="1">
      <c r="A37" s="4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2"/>
      <c r="M37" s="5"/>
    </row>
    <row r="38" spans="1:13" ht="15" thickBo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2"/>
    </row>
  </sheetData>
  <mergeCells count="6">
    <mergeCell ref="B30:L30"/>
    <mergeCell ref="B3:L8"/>
    <mergeCell ref="B10:L10"/>
    <mergeCell ref="B14:L14"/>
    <mergeCell ref="B18:L18"/>
    <mergeCell ref="B22:L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5AF-4BCF-4CBE-A4FF-9F4FAFE229D1}">
  <sheetPr>
    <tabColor theme="3"/>
  </sheetPr>
  <dimension ref="A1:R38"/>
  <sheetViews>
    <sheetView topLeftCell="C1" zoomScale="57" zoomScaleNormal="55" workbookViewId="0">
      <selection activeCell="V28" sqref="V28"/>
    </sheetView>
  </sheetViews>
  <sheetFormatPr defaultRowHeight="14.5"/>
  <cols>
    <col min="3" max="3" width="14.6328125" customWidth="1"/>
    <col min="4" max="4" width="8.7265625" customWidth="1"/>
    <col min="5" max="5" width="18.7265625" customWidth="1"/>
    <col min="6" max="6" width="11.7265625" customWidth="1"/>
    <col min="8" max="8" width="8.7265625" customWidth="1"/>
  </cols>
  <sheetData>
    <row r="1" spans="1:18" ht="15" thickBot="1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8" ht="15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1:18">
      <c r="A3" s="4"/>
      <c r="B3" s="108" t="s">
        <v>106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5"/>
    </row>
    <row r="4" spans="1:18">
      <c r="A4" s="4"/>
      <c r="B4" s="111" t="s">
        <v>107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5"/>
    </row>
    <row r="5" spans="1:18">
      <c r="A5" s="4"/>
      <c r="B5" s="111" t="s">
        <v>108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3"/>
      <c r="R5" s="5"/>
    </row>
    <row r="6" spans="1:18">
      <c r="A6" s="4"/>
      <c r="B6" s="111" t="s">
        <v>109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3"/>
      <c r="R6" s="5"/>
    </row>
    <row r="7" spans="1:18">
      <c r="A7" s="4"/>
      <c r="B7" s="111" t="s">
        <v>110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3"/>
      <c r="R7" s="5"/>
    </row>
    <row r="8" spans="1:18" ht="15" thickBot="1">
      <c r="A8" s="4"/>
      <c r="B8" s="114" t="s">
        <v>111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6"/>
      <c r="R8" s="5"/>
    </row>
    <row r="9" spans="1:18" ht="15" thickBot="1">
      <c r="A9" s="4"/>
      <c r="B9" s="166" t="s">
        <v>73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8"/>
      <c r="R9" s="5"/>
    </row>
    <row r="10" spans="1:18">
      <c r="A10" s="4"/>
      <c r="B10" s="123" t="s">
        <v>107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5"/>
      <c r="R10" s="5"/>
    </row>
    <row r="11" spans="1:18">
      <c r="A11" s="4"/>
      <c r="B11" s="169" t="s">
        <v>112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1"/>
      <c r="R11" s="5"/>
    </row>
    <row r="12" spans="1:18">
      <c r="A12" s="4"/>
      <c r="B12" s="117" t="s">
        <v>113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9"/>
      <c r="R12" s="5"/>
    </row>
    <row r="13" spans="1:18">
      <c r="A13" s="4"/>
      <c r="B13" s="96" t="s">
        <v>122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  <c r="R13" s="5"/>
    </row>
    <row r="14" spans="1:18">
      <c r="A14" s="4"/>
      <c r="B14" s="117" t="s">
        <v>115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9"/>
      <c r="R14" s="5"/>
    </row>
    <row r="15" spans="1:18">
      <c r="A15" s="4"/>
      <c r="B15" s="117" t="s">
        <v>114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5"/>
    </row>
    <row r="16" spans="1:18">
      <c r="A16" s="4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5"/>
    </row>
    <row r="17" spans="1:18">
      <c r="A17" s="4"/>
      <c r="B17" s="88" t="s">
        <v>116</v>
      </c>
      <c r="C17" s="89"/>
      <c r="D17" s="14"/>
      <c r="E17" s="8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5"/>
    </row>
    <row r="18" spans="1:18">
      <c r="A18" s="4"/>
      <c r="B18" s="117" t="s">
        <v>120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5"/>
    </row>
    <row r="19" spans="1:18">
      <c r="A19" s="4"/>
      <c r="B19" s="117" t="s">
        <v>117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9"/>
      <c r="R19" s="5"/>
    </row>
    <row r="20" spans="1:18">
      <c r="A20" s="4"/>
      <c r="B20" s="117" t="s">
        <v>118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9"/>
      <c r="R20" s="5"/>
    </row>
    <row r="21" spans="1:18">
      <c r="A21" s="4"/>
      <c r="B21" s="117" t="s">
        <v>119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9"/>
      <c r="R21" s="5"/>
    </row>
    <row r="22" spans="1:18">
      <c r="A22" s="4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5"/>
    </row>
    <row r="23" spans="1:18">
      <c r="A23" s="4"/>
      <c r="B23" s="160" t="s">
        <v>121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2"/>
      <c r="R23" s="5"/>
    </row>
    <row r="24" spans="1:18" ht="15" thickBot="1">
      <c r="A24" s="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8"/>
      <c r="R24" s="5"/>
    </row>
    <row r="25" spans="1:18">
      <c r="A25" s="4"/>
      <c r="B25" s="123" t="s">
        <v>123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5"/>
      <c r="R25" s="5"/>
    </row>
    <row r="26" spans="1:18" ht="15" thickBot="1">
      <c r="A26" s="4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5"/>
    </row>
    <row r="27" spans="1:18" ht="15" thickBot="1">
      <c r="A27" s="4"/>
      <c r="B27" s="13"/>
      <c r="C27" s="90">
        <v>45818</v>
      </c>
      <c r="D27" s="14"/>
      <c r="E27" s="92">
        <f ca="1">C27-TODAY()</f>
        <v>-205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5"/>
    </row>
    <row r="28" spans="1:18" ht="15" thickBot="1">
      <c r="A28" s="4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/>
      <c r="R28" s="5"/>
    </row>
    <row r="29" spans="1:18">
      <c r="A29" s="4"/>
      <c r="B29" s="117" t="s">
        <v>109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9"/>
      <c r="R29" s="5"/>
    </row>
    <row r="30" spans="1:18" ht="15" thickBot="1">
      <c r="A30" s="4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5"/>
    </row>
    <row r="31" spans="1:18" ht="15" thickBot="1">
      <c r="A31" s="4"/>
      <c r="B31" s="13"/>
      <c r="C31" s="14"/>
      <c r="D31" s="14"/>
      <c r="E31" s="91" t="str">
        <f ca="1">TEXT(NOW(),"mm/dd/yyyy hh:mm am/pm")</f>
        <v>01/01/2026 12:34 PM</v>
      </c>
      <c r="F31" s="89"/>
      <c r="G31" s="14"/>
      <c r="H31" s="89"/>
      <c r="I31" s="14"/>
      <c r="J31" s="14"/>
      <c r="K31" s="14"/>
      <c r="L31" s="14"/>
      <c r="M31" s="14"/>
      <c r="N31" s="14"/>
      <c r="O31" s="14"/>
      <c r="P31" s="14"/>
      <c r="Q31" s="15"/>
      <c r="R31" s="5"/>
    </row>
    <row r="32" spans="1:18" ht="15" thickBot="1">
      <c r="A32" s="4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8"/>
      <c r="R32" s="5"/>
    </row>
    <row r="33" spans="1:18">
      <c r="A33" s="4"/>
      <c r="B33" s="123" t="s">
        <v>124</v>
      </c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5"/>
      <c r="R33" s="5"/>
    </row>
    <row r="34" spans="1:18">
      <c r="A34" s="4"/>
      <c r="B34" s="163" t="s">
        <v>125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5"/>
      <c r="R34" s="5"/>
    </row>
    <row r="35" spans="1:18" ht="15" thickBot="1">
      <c r="A35" s="4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8"/>
      <c r="R35" s="5"/>
    </row>
    <row r="36" spans="1:18">
      <c r="A36" s="4"/>
      <c r="B36" s="117" t="s">
        <v>111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9"/>
      <c r="R36" s="5"/>
    </row>
    <row r="37" spans="1:18" ht="15" thickBot="1">
      <c r="A37" s="4"/>
      <c r="B37" s="157" t="s">
        <v>126</v>
      </c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9"/>
      <c r="R37" s="5"/>
    </row>
    <row r="38" spans="1:18" ht="15" thickBo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/>
    </row>
  </sheetData>
  <mergeCells count="24">
    <mergeCell ref="B14:Q14"/>
    <mergeCell ref="B3:Q3"/>
    <mergeCell ref="B4:Q4"/>
    <mergeCell ref="B5:Q5"/>
    <mergeCell ref="B6:Q6"/>
    <mergeCell ref="B7:Q7"/>
    <mergeCell ref="B8:Q8"/>
    <mergeCell ref="B9:Q9"/>
    <mergeCell ref="B10:Q10"/>
    <mergeCell ref="B11:Q11"/>
    <mergeCell ref="B12:Q12"/>
    <mergeCell ref="B13:Q13"/>
    <mergeCell ref="B37:Q37"/>
    <mergeCell ref="B15:Q15"/>
    <mergeCell ref="B18:Q18"/>
    <mergeCell ref="B19:Q19"/>
    <mergeCell ref="B20:Q20"/>
    <mergeCell ref="B21:Q21"/>
    <mergeCell ref="B23:Q23"/>
    <mergeCell ref="B25:Q25"/>
    <mergeCell ref="B29:Q29"/>
    <mergeCell ref="B33:Q33"/>
    <mergeCell ref="B34:Q34"/>
    <mergeCell ref="B36:Q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Ques.1</vt:lpstr>
      <vt:lpstr>Ques.2</vt:lpstr>
      <vt:lpstr>Ques.3</vt:lpstr>
      <vt:lpstr>Ques.4</vt:lpstr>
      <vt:lpstr>Ques.5</vt:lpstr>
      <vt:lpstr>Ques.6</vt:lpstr>
      <vt:lpstr>Ques.7</vt:lpstr>
      <vt:lpstr>Ques.8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Rajput</dc:creator>
  <cp:lastModifiedBy>Sakshi Rajput</cp:lastModifiedBy>
  <dcterms:created xsi:type="dcterms:W3CDTF">2025-12-31T14:47:00Z</dcterms:created>
  <dcterms:modified xsi:type="dcterms:W3CDTF">2026-01-01T07:05:01Z</dcterms:modified>
</cp:coreProperties>
</file>